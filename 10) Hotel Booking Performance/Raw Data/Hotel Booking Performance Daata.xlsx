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1_Backup/59_Hotel Management Dashboard/Final/"/>
    </mc:Choice>
  </mc:AlternateContent>
  <xr:revisionPtr revIDLastSave="0" documentId="8_{5E87E641-4146-4BA5-B4B6-A567E9CB1E38}" xr6:coauthVersionLast="47" xr6:coauthVersionMax="47" xr10:uidLastSave="{00000000-0000-0000-0000-000000000000}"/>
  <bookViews>
    <workbookView xWindow="-108" yWindow="-108" windowWidth="23256" windowHeight="12456" xr2:uid="{3A1E24DA-2207-4DA1-BE19-8EF021757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2" i="1" l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<sst xmlns="http://schemas.openxmlformats.org/spreadsheetml/2006/main" count="1418" uniqueCount="102">
  <si>
    <t>Year</t>
  </si>
  <si>
    <t>Month</t>
  </si>
  <si>
    <t>Hotel Name</t>
  </si>
  <si>
    <t>Country</t>
  </si>
  <si>
    <t>City</t>
  </si>
  <si>
    <t>Customer ID</t>
  </si>
  <si>
    <t>Customer Age</t>
  </si>
  <si>
    <t>Customer Gender</t>
  </si>
  <si>
    <t>Customer Type</t>
  </si>
  <si>
    <t>Booking Date</t>
  </si>
  <si>
    <t>Room Type</t>
  </si>
  <si>
    <t>Booking Status</t>
  </si>
  <si>
    <t>Room Booked</t>
  </si>
  <si>
    <t>Room Available</t>
  </si>
  <si>
    <t>Price</t>
  </si>
  <si>
    <t>Payment Mode</t>
  </si>
  <si>
    <t>Total Revenue</t>
  </si>
  <si>
    <t>Profit</t>
  </si>
  <si>
    <t>Jan</t>
  </si>
  <si>
    <t>Opera House</t>
  </si>
  <si>
    <t>Australia</t>
  </si>
  <si>
    <t>Sydney</t>
  </si>
  <si>
    <t>CID00</t>
  </si>
  <si>
    <t>Female</t>
  </si>
  <si>
    <t>Existing</t>
  </si>
  <si>
    <t>Business Class</t>
  </si>
  <si>
    <t>Cancelled</t>
  </si>
  <si>
    <t>Online</t>
  </si>
  <si>
    <t>Apr</t>
  </si>
  <si>
    <t>Hames Palace</t>
  </si>
  <si>
    <t>United Kingdom</t>
  </si>
  <si>
    <t>London</t>
  </si>
  <si>
    <t>CID01</t>
  </si>
  <si>
    <t>Male</t>
  </si>
  <si>
    <t>Pending</t>
  </si>
  <si>
    <t>Credit Card</t>
  </si>
  <si>
    <t>Jun</t>
  </si>
  <si>
    <t>Marine Resort</t>
  </si>
  <si>
    <t>India</t>
  </si>
  <si>
    <t>Mumbai</t>
  </si>
  <si>
    <t>CID03</t>
  </si>
  <si>
    <t>New</t>
  </si>
  <si>
    <t>Single</t>
  </si>
  <si>
    <t>Confirmed</t>
  </si>
  <si>
    <t>Oct</t>
  </si>
  <si>
    <t>CID08</t>
  </si>
  <si>
    <t>Super Luxury</t>
  </si>
  <si>
    <t>Dec</t>
  </si>
  <si>
    <t>CID09</t>
  </si>
  <si>
    <t>Sharing</t>
  </si>
  <si>
    <t>Cash</t>
  </si>
  <si>
    <t>Sep</t>
  </si>
  <si>
    <t>CID12</t>
  </si>
  <si>
    <t>Mar</t>
  </si>
  <si>
    <t>CID14</t>
  </si>
  <si>
    <t>Aug</t>
  </si>
  <si>
    <t>CID15</t>
  </si>
  <si>
    <t>May</t>
  </si>
  <si>
    <t>CID16</t>
  </si>
  <si>
    <t>Empire Grand</t>
  </si>
  <si>
    <t>United States</t>
  </si>
  <si>
    <t>New York</t>
  </si>
  <si>
    <t>CID17</t>
  </si>
  <si>
    <t>Debit Card</t>
  </si>
  <si>
    <t>CID23</t>
  </si>
  <si>
    <t>Regular</t>
  </si>
  <si>
    <t>CID24</t>
  </si>
  <si>
    <t>CID26</t>
  </si>
  <si>
    <t>Delux</t>
  </si>
  <si>
    <t>Nov</t>
  </si>
  <si>
    <t>Palace Inn</t>
  </si>
  <si>
    <t>United Arab Emirates</t>
  </si>
  <si>
    <t>Abu Dhabi</t>
  </si>
  <si>
    <t>CID27</t>
  </si>
  <si>
    <t>CID33</t>
  </si>
  <si>
    <t>CID36</t>
  </si>
  <si>
    <t>Jul</t>
  </si>
  <si>
    <t>CID38</t>
  </si>
  <si>
    <t>CID39</t>
  </si>
  <si>
    <t>CID43</t>
  </si>
  <si>
    <t>Luxury</t>
  </si>
  <si>
    <t>CID44</t>
  </si>
  <si>
    <t>CID45</t>
  </si>
  <si>
    <t>CID51</t>
  </si>
  <si>
    <t>CID52</t>
  </si>
  <si>
    <t>CID57</t>
  </si>
  <si>
    <t>CID58</t>
  </si>
  <si>
    <t>View Hotel</t>
  </si>
  <si>
    <t>CID60</t>
  </si>
  <si>
    <t>CID61</t>
  </si>
  <si>
    <t>CID63</t>
  </si>
  <si>
    <t>Inn Eve</t>
  </si>
  <si>
    <t>Italy</t>
  </si>
  <si>
    <t>Rome</t>
  </si>
  <si>
    <t>Hotel Sunshine</t>
  </si>
  <si>
    <t>Feb</t>
  </si>
  <si>
    <t>Bangalore</t>
  </si>
  <si>
    <t>Melbourne</t>
  </si>
  <si>
    <t>Milan</t>
  </si>
  <si>
    <t>Los Angeles</t>
  </si>
  <si>
    <t>Chicago</t>
  </si>
  <si>
    <t>Birmingham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</si>
</sst>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14" fontId="2" fillId="0" borderId="0" xfId="0" applyNumberFormat="1" applyFon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4ABDE-A8D4-4428-AAE7-9D4EC2A38F0E}" name="Table2" displayName="Table2" ref="A1:R141" totalsRowShown="0" headerRowDxfId="18">
  <tableColumns count="18">
    <tableColumn id="19" xr3:uid="{8C07F345-94A7-41E9-820D-2AB4E646AA13}" name="Year" dataDxfId="17"/>
    <tableColumn id="20" xr3:uid="{F98B5A31-4E06-425E-977C-E40F048B6D2A}" name="Month" dataDxfId="16"/>
    <tableColumn id="1" xr3:uid="{513F621A-3446-4BB1-AC27-71F0A8030D0F}" name="Hotel Name" dataDxfId="15"/>
    <tableColumn id="15" xr3:uid="{6BD0DC92-1CC8-4C52-8A29-11FAAAF8B5E1}" name="Country" dataDxfId="14"/>
    <tableColumn id="2" xr3:uid="{45B55F4E-59E0-4E03-9D81-87C7D6F426C7}" name="City" dataDxfId="13"/>
    <tableColumn id="3" xr3:uid="{ACD96620-7C96-40BE-B0E6-80472D289EF3}" name="Customer ID" dataDxfId="12"/>
    <tableColumn id="4" xr3:uid="{E2B5331B-2E7E-4196-BBB3-2558A65E925D}" name="Customer Age" dataDxfId="11"/>
    <tableColumn id="5" xr3:uid="{CF15EAF2-343F-4CA4-B7BA-19839DECA63A}" name="Customer Gender" dataDxfId="10"/>
    <tableColumn id="6" xr3:uid="{7754A21A-17C2-4EA2-A4CB-2FA21AD1823B}" name="Customer Type" dataDxfId="9"/>
    <tableColumn id="7" xr3:uid="{263A14EE-D16E-4BCC-8236-FC24797829F1}" name="Booking Date" dataDxfId="8"/>
    <tableColumn id="14" xr3:uid="{B8C3BA65-61F6-4286-A1E0-E9CA5C63BAAE}" name="Room Type" dataDxfId="7"/>
    <tableColumn id="8" xr3:uid="{BA01AA2D-BD7B-428B-B224-696FC669C1C6}" name="Booking Status" dataDxfId="6"/>
    <tableColumn id="9" xr3:uid="{AB8C77DD-38AD-4C4E-AEB5-CD4FF2C603A8}" name="Room Booked" dataDxfId="5"/>
    <tableColumn id="10" xr3:uid="{31D54AA7-4218-4694-AEA9-5A23B28EC61A}" name="Room Available" dataDxfId="4"/>
    <tableColumn id="11" xr3:uid="{C3CC2DBF-36B0-4863-8B0E-57DC6818745D}" name="Price" dataDxfId="3"/>
    <tableColumn id="12" xr3:uid="{2CA286BB-031C-4962-9566-2EA386134E26}" name="Payment Mode" dataDxfId="2"/>
    <tableColumn id="13" xr3:uid="{707D3C22-0C7F-4CE6-8EC9-741C33F0081C}" name="Total Revenue" dataDxfId="1" dataCellStyle="Comma">
      <calculatedColumnFormula>Table2[[#This Row],[Room Booked]]*Table2[[#This Row],[Price]]</calculatedColumnFormula>
    </tableColumn>
    <tableColumn id="16" xr3:uid="{C48F897A-0BD5-45BF-ACE5-72544EE7098D}" name="Profi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2FFB-1035-4BD9-B9FC-F82FC1E712C8}">
  <dimension ref="A1:R141"/>
  <sheetViews>
    <sheetView tabSelected="1" workbookViewId="0">
      <selection activeCell="M8" sqref="M8"/>
    </sheetView>
  </sheetViews>
  <sheetFormatPr defaultRowHeight="14.4" x14ac:dyDescent="0.3"/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2022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37</v>
      </c>
      <c r="H2" s="2" t="s">
        <v>23</v>
      </c>
      <c r="I2" s="2" t="s">
        <v>24</v>
      </c>
      <c r="J2" s="3">
        <v>44570</v>
      </c>
      <c r="K2" s="2" t="s">
        <v>25</v>
      </c>
      <c r="L2" s="2" t="s">
        <v>26</v>
      </c>
      <c r="M2" s="2">
        <v>9</v>
      </c>
      <c r="N2" s="2">
        <v>123</v>
      </c>
      <c r="O2" s="2">
        <v>4867</v>
      </c>
      <c r="P2" s="2" t="s">
        <v>27</v>
      </c>
      <c r="Q2" s="4">
        <f>Table2[[#This Row],[Room Booked]]*Table2[[#This Row],[Price]]</f>
        <v>43803</v>
      </c>
      <c r="R2" s="4">
        <v>32122.199999999997</v>
      </c>
    </row>
    <row r="3" spans="1:18" x14ac:dyDescent="0.3">
      <c r="A3" s="2">
        <v>2022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21</v>
      </c>
      <c r="H3" s="2" t="s">
        <v>33</v>
      </c>
      <c r="I3" s="2" t="s">
        <v>24</v>
      </c>
      <c r="J3" s="3">
        <v>44674</v>
      </c>
      <c r="K3" s="2" t="s">
        <v>25</v>
      </c>
      <c r="L3" s="2" t="s">
        <v>34</v>
      </c>
      <c r="M3" s="2">
        <v>26</v>
      </c>
      <c r="N3" s="2">
        <v>106</v>
      </c>
      <c r="O3" s="2">
        <v>3928</v>
      </c>
      <c r="P3" s="2" t="s">
        <v>35</v>
      </c>
      <c r="Q3" s="4">
        <f>Table2[[#This Row],[Room Booked]]*Table2[[#This Row],[Price]]</f>
        <v>102128</v>
      </c>
      <c r="R3" s="4">
        <v>44779.199999999997</v>
      </c>
    </row>
    <row r="4" spans="1:18" x14ac:dyDescent="0.3">
      <c r="A4" s="2">
        <v>2022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>
        <v>22</v>
      </c>
      <c r="H4" s="2" t="s">
        <v>23</v>
      </c>
      <c r="I4" s="2" t="s">
        <v>41</v>
      </c>
      <c r="J4" s="3">
        <v>44721</v>
      </c>
      <c r="K4" s="2" t="s">
        <v>42</v>
      </c>
      <c r="L4" s="2" t="s">
        <v>43</v>
      </c>
      <c r="M4" s="2">
        <v>11</v>
      </c>
      <c r="N4" s="2">
        <v>123</v>
      </c>
      <c r="O4" s="2">
        <v>26016</v>
      </c>
      <c r="P4" s="2" t="s">
        <v>27</v>
      </c>
      <c r="Q4" s="4">
        <f>Table2[[#This Row],[Room Booked]]*Table2[[#This Row],[Price]]</f>
        <v>286176</v>
      </c>
      <c r="R4" s="4">
        <v>26341.200000000001</v>
      </c>
    </row>
    <row r="5" spans="1:18" x14ac:dyDescent="0.3">
      <c r="A5" s="2">
        <v>2022</v>
      </c>
      <c r="B5" s="2" t="s">
        <v>44</v>
      </c>
      <c r="C5" s="2" t="s">
        <v>19</v>
      </c>
      <c r="D5" s="2" t="s">
        <v>20</v>
      </c>
      <c r="E5" s="2" t="s">
        <v>21</v>
      </c>
      <c r="F5" s="2" t="s">
        <v>45</v>
      </c>
      <c r="G5" s="2">
        <v>56</v>
      </c>
      <c r="H5" s="2" t="s">
        <v>23</v>
      </c>
      <c r="I5" s="2" t="s">
        <v>41</v>
      </c>
      <c r="J5" s="3">
        <v>44837</v>
      </c>
      <c r="K5" s="2" t="s">
        <v>46</v>
      </c>
      <c r="L5" s="2" t="s">
        <v>34</v>
      </c>
      <c r="M5" s="2">
        <v>19</v>
      </c>
      <c r="N5" s="2">
        <v>86</v>
      </c>
      <c r="O5" s="2">
        <v>4639</v>
      </c>
      <c r="P5" s="2" t="s">
        <v>27</v>
      </c>
      <c r="Q5" s="4">
        <f>Table2[[#This Row],[Room Booked]]*Table2[[#This Row],[Price]]</f>
        <v>88141</v>
      </c>
      <c r="R5" s="4">
        <v>65409.899999999994</v>
      </c>
    </row>
    <row r="6" spans="1:18" x14ac:dyDescent="0.3">
      <c r="A6" s="2">
        <v>2022</v>
      </c>
      <c r="B6" s="2" t="s">
        <v>47</v>
      </c>
      <c r="C6" s="2" t="s">
        <v>29</v>
      </c>
      <c r="D6" s="2" t="s">
        <v>30</v>
      </c>
      <c r="E6" s="2" t="s">
        <v>31</v>
      </c>
      <c r="F6" s="2" t="s">
        <v>48</v>
      </c>
      <c r="G6" s="2">
        <v>56</v>
      </c>
      <c r="H6" s="2" t="s">
        <v>23</v>
      </c>
      <c r="I6" s="2" t="s">
        <v>24</v>
      </c>
      <c r="J6" s="3">
        <v>44914</v>
      </c>
      <c r="K6" s="2" t="s">
        <v>49</v>
      </c>
      <c r="L6" s="2" t="s">
        <v>34</v>
      </c>
      <c r="M6" s="2">
        <v>47</v>
      </c>
      <c r="N6" s="2">
        <v>121</v>
      </c>
      <c r="O6" s="2">
        <v>73568</v>
      </c>
      <c r="P6" s="2" t="s">
        <v>50</v>
      </c>
      <c r="Q6" s="4">
        <f>Table2[[#This Row],[Room Booked]]*Table2[[#This Row],[Price]]</f>
        <v>3457696</v>
      </c>
      <c r="R6" s="4">
        <v>197433.60000000001</v>
      </c>
    </row>
    <row r="7" spans="1:18" x14ac:dyDescent="0.3">
      <c r="A7" s="2">
        <v>2023</v>
      </c>
      <c r="B7" s="2" t="s">
        <v>51</v>
      </c>
      <c r="C7" s="2" t="s">
        <v>37</v>
      </c>
      <c r="D7" s="2" t="s">
        <v>38</v>
      </c>
      <c r="E7" s="2" t="s">
        <v>39</v>
      </c>
      <c r="F7" s="2" t="s">
        <v>52</v>
      </c>
      <c r="G7" s="2">
        <v>52</v>
      </c>
      <c r="H7" s="2" t="s">
        <v>33</v>
      </c>
      <c r="I7" s="2" t="s">
        <v>24</v>
      </c>
      <c r="J7" s="3">
        <v>45184</v>
      </c>
      <c r="K7" s="2" t="s">
        <v>25</v>
      </c>
      <c r="L7" s="2" t="s">
        <v>26</v>
      </c>
      <c r="M7" s="2">
        <v>22</v>
      </c>
      <c r="N7" s="2">
        <v>123</v>
      </c>
      <c r="O7" s="2">
        <v>7380</v>
      </c>
      <c r="P7" s="2" t="s">
        <v>27</v>
      </c>
      <c r="Q7" s="4">
        <f>Table2[[#This Row],[Room Booked]]*Table2[[#This Row],[Price]]</f>
        <v>162360</v>
      </c>
      <c r="R7" s="4">
        <v>121770</v>
      </c>
    </row>
    <row r="8" spans="1:18" x14ac:dyDescent="0.3">
      <c r="A8" s="2">
        <v>2022</v>
      </c>
      <c r="B8" s="2" t="s">
        <v>53</v>
      </c>
      <c r="C8" s="2" t="s">
        <v>19</v>
      </c>
      <c r="D8" s="2" t="s">
        <v>20</v>
      </c>
      <c r="E8" s="2" t="s">
        <v>21</v>
      </c>
      <c r="F8" s="2" t="s">
        <v>54</v>
      </c>
      <c r="G8" s="2">
        <v>64</v>
      </c>
      <c r="H8" s="2" t="s">
        <v>23</v>
      </c>
      <c r="I8" s="2" t="s">
        <v>24</v>
      </c>
      <c r="J8" s="3">
        <v>44646</v>
      </c>
      <c r="K8" s="2" t="s">
        <v>25</v>
      </c>
      <c r="L8" s="2" t="s">
        <v>34</v>
      </c>
      <c r="M8" s="2">
        <v>26</v>
      </c>
      <c r="N8" s="2">
        <v>114</v>
      </c>
      <c r="O8" s="2">
        <v>3976</v>
      </c>
      <c r="P8" s="2" t="s">
        <v>50</v>
      </c>
      <c r="Q8" s="4">
        <f>Table2[[#This Row],[Room Booked]]*Table2[[#This Row],[Price]]</f>
        <v>103376</v>
      </c>
      <c r="R8" s="4">
        <v>75146.399999999994</v>
      </c>
    </row>
    <row r="9" spans="1:18" x14ac:dyDescent="0.3">
      <c r="A9" s="2">
        <v>2022</v>
      </c>
      <c r="B9" s="2" t="s">
        <v>55</v>
      </c>
      <c r="C9" s="2" t="s">
        <v>29</v>
      </c>
      <c r="D9" s="2" t="s">
        <v>30</v>
      </c>
      <c r="E9" s="2" t="s">
        <v>31</v>
      </c>
      <c r="F9" s="2" t="s">
        <v>56</v>
      </c>
      <c r="G9" s="2">
        <v>22</v>
      </c>
      <c r="H9" s="2" t="s">
        <v>33</v>
      </c>
      <c r="I9" s="2" t="s">
        <v>24</v>
      </c>
      <c r="J9" s="3">
        <v>44782</v>
      </c>
      <c r="K9" s="2" t="s">
        <v>42</v>
      </c>
      <c r="L9" s="2" t="s">
        <v>26</v>
      </c>
      <c r="M9" s="2">
        <v>38</v>
      </c>
      <c r="N9" s="2">
        <v>105</v>
      </c>
      <c r="O9" s="2">
        <v>35248</v>
      </c>
      <c r="P9" s="2" t="s">
        <v>35</v>
      </c>
      <c r="Q9" s="4">
        <f>Table2[[#This Row],[Room Booked]]*Table2[[#This Row],[Price]]</f>
        <v>1339424</v>
      </c>
      <c r="R9" s="4">
        <v>91204.2</v>
      </c>
    </row>
    <row r="10" spans="1:18" x14ac:dyDescent="0.3">
      <c r="A10" s="2">
        <v>2023</v>
      </c>
      <c r="B10" s="2" t="s">
        <v>57</v>
      </c>
      <c r="C10" s="2" t="s">
        <v>37</v>
      </c>
      <c r="D10" s="2" t="s">
        <v>38</v>
      </c>
      <c r="E10" s="2" t="s">
        <v>39</v>
      </c>
      <c r="F10" s="2" t="s">
        <v>58</v>
      </c>
      <c r="G10" s="2">
        <v>49</v>
      </c>
      <c r="H10" s="2" t="s">
        <v>23</v>
      </c>
      <c r="I10" s="2" t="s">
        <v>24</v>
      </c>
      <c r="J10" s="3">
        <v>45062</v>
      </c>
      <c r="K10" s="2" t="s">
        <v>42</v>
      </c>
      <c r="L10" s="2" t="s">
        <v>26</v>
      </c>
      <c r="M10" s="2">
        <v>62</v>
      </c>
      <c r="N10" s="2">
        <v>109</v>
      </c>
      <c r="O10" s="2">
        <v>42008</v>
      </c>
      <c r="P10" s="2" t="s">
        <v>35</v>
      </c>
      <c r="Q10" s="4">
        <f>Table2[[#This Row],[Room Booked]]*Table2[[#This Row],[Price]]</f>
        <v>2604496</v>
      </c>
      <c r="R10" s="4">
        <v>97668.599999999991</v>
      </c>
    </row>
    <row r="11" spans="1:18" x14ac:dyDescent="0.3">
      <c r="A11" s="2">
        <v>2022</v>
      </c>
      <c r="B11" s="2" t="s">
        <v>18</v>
      </c>
      <c r="C11" s="2" t="s">
        <v>59</v>
      </c>
      <c r="D11" s="2" t="s">
        <v>60</v>
      </c>
      <c r="E11" s="2" t="s">
        <v>61</v>
      </c>
      <c r="F11" s="2" t="s">
        <v>62</v>
      </c>
      <c r="G11" s="2">
        <v>46</v>
      </c>
      <c r="H11" s="2" t="s">
        <v>23</v>
      </c>
      <c r="I11" s="2" t="s">
        <v>41</v>
      </c>
      <c r="J11" s="3">
        <v>44576</v>
      </c>
      <c r="K11" s="2" t="s">
        <v>49</v>
      </c>
      <c r="L11" s="2" t="s">
        <v>34</v>
      </c>
      <c r="M11" s="2">
        <v>16</v>
      </c>
      <c r="N11" s="2">
        <v>99</v>
      </c>
      <c r="O11" s="2">
        <v>20104</v>
      </c>
      <c r="P11" s="2" t="s">
        <v>63</v>
      </c>
      <c r="Q11" s="4">
        <f>Table2[[#This Row],[Room Booked]]*Table2[[#This Row],[Price]]</f>
        <v>321664</v>
      </c>
      <c r="R11" s="4">
        <v>104549.4</v>
      </c>
    </row>
    <row r="12" spans="1:18" x14ac:dyDescent="0.3">
      <c r="A12" s="2">
        <v>2022</v>
      </c>
      <c r="B12" s="2" t="s">
        <v>44</v>
      </c>
      <c r="C12" s="2" t="s">
        <v>19</v>
      </c>
      <c r="D12" s="2" t="s">
        <v>20</v>
      </c>
      <c r="E12" s="2" t="s">
        <v>21</v>
      </c>
      <c r="F12" s="2" t="s">
        <v>64</v>
      </c>
      <c r="G12" s="2">
        <v>38</v>
      </c>
      <c r="H12" s="2" t="s">
        <v>23</v>
      </c>
      <c r="I12" s="2" t="s">
        <v>24</v>
      </c>
      <c r="J12" s="3">
        <v>44850</v>
      </c>
      <c r="K12" s="2" t="s">
        <v>65</v>
      </c>
      <c r="L12" s="2" t="s">
        <v>34</v>
      </c>
      <c r="M12" s="2">
        <v>16</v>
      </c>
      <c r="N12" s="2">
        <v>115</v>
      </c>
      <c r="O12" s="2">
        <v>9707</v>
      </c>
      <c r="P12" s="2" t="s">
        <v>63</v>
      </c>
      <c r="Q12" s="4">
        <f>Table2[[#This Row],[Room Booked]]*Table2[[#This Row],[Price]]</f>
        <v>155312</v>
      </c>
      <c r="R12" s="4">
        <v>270825.3</v>
      </c>
    </row>
    <row r="13" spans="1:18" x14ac:dyDescent="0.3">
      <c r="A13" s="2">
        <v>2023</v>
      </c>
      <c r="B13" s="2" t="s">
        <v>51</v>
      </c>
      <c r="C13" s="2" t="s">
        <v>19</v>
      </c>
      <c r="D13" s="2" t="s">
        <v>20</v>
      </c>
      <c r="E13" s="2" t="s">
        <v>21</v>
      </c>
      <c r="F13" s="2" t="s">
        <v>66</v>
      </c>
      <c r="G13" s="2">
        <v>56</v>
      </c>
      <c r="H13" s="2" t="s">
        <v>23</v>
      </c>
      <c r="I13" s="2" t="s">
        <v>24</v>
      </c>
      <c r="J13" s="3">
        <v>45182</v>
      </c>
      <c r="K13" s="2" t="s">
        <v>25</v>
      </c>
      <c r="L13" s="2" t="s">
        <v>34</v>
      </c>
      <c r="M13" s="2">
        <v>24</v>
      </c>
      <c r="N13" s="2">
        <v>80</v>
      </c>
      <c r="O13" s="2">
        <v>340</v>
      </c>
      <c r="P13" s="2" t="s">
        <v>27</v>
      </c>
      <c r="Q13" s="4">
        <f>Table2[[#This Row],[Room Booked]]*Table2[[#This Row],[Price]]</f>
        <v>8160</v>
      </c>
      <c r="R13" s="4">
        <v>6018</v>
      </c>
    </row>
    <row r="14" spans="1:18" x14ac:dyDescent="0.3">
      <c r="A14" s="2">
        <v>2023</v>
      </c>
      <c r="B14" s="2" t="s">
        <v>36</v>
      </c>
      <c r="C14" s="2" t="s">
        <v>29</v>
      </c>
      <c r="D14" s="2" t="s">
        <v>30</v>
      </c>
      <c r="E14" s="2" t="s">
        <v>31</v>
      </c>
      <c r="F14" s="2" t="s">
        <v>67</v>
      </c>
      <c r="G14" s="2">
        <v>35</v>
      </c>
      <c r="H14" s="2" t="s">
        <v>33</v>
      </c>
      <c r="I14" s="2" t="s">
        <v>41</v>
      </c>
      <c r="J14" s="3">
        <v>45095</v>
      </c>
      <c r="K14" s="2" t="s">
        <v>68</v>
      </c>
      <c r="L14" s="2" t="s">
        <v>26</v>
      </c>
      <c r="M14" s="2">
        <v>27</v>
      </c>
      <c r="N14" s="2">
        <v>109</v>
      </c>
      <c r="O14" s="2">
        <v>76704</v>
      </c>
      <c r="P14" s="2" t="s">
        <v>50</v>
      </c>
      <c r="Q14" s="4">
        <f>Table2[[#This Row],[Room Booked]]*Table2[[#This Row],[Price]]</f>
        <v>2071008</v>
      </c>
      <c r="R14" s="4">
        <v>86702.7</v>
      </c>
    </row>
    <row r="15" spans="1:18" x14ac:dyDescent="0.3">
      <c r="A15" s="2">
        <v>2022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73</v>
      </c>
      <c r="G15" s="2">
        <v>56</v>
      </c>
      <c r="H15" s="2" t="s">
        <v>23</v>
      </c>
      <c r="I15" s="2" t="s">
        <v>41</v>
      </c>
      <c r="J15" s="3">
        <v>44892</v>
      </c>
      <c r="K15" s="2" t="s">
        <v>49</v>
      </c>
      <c r="L15" s="2" t="s">
        <v>43</v>
      </c>
      <c r="M15" s="2">
        <v>34</v>
      </c>
      <c r="N15" s="2">
        <v>96</v>
      </c>
      <c r="O15" s="2">
        <v>17304</v>
      </c>
      <c r="P15" s="2" t="s">
        <v>27</v>
      </c>
      <c r="Q15" s="4">
        <f>Table2[[#This Row],[Room Booked]]*Table2[[#This Row],[Price]]</f>
        <v>588336</v>
      </c>
      <c r="R15" s="4">
        <v>17952.899999999998</v>
      </c>
    </row>
    <row r="16" spans="1:18" x14ac:dyDescent="0.3">
      <c r="A16" s="2">
        <v>2023</v>
      </c>
      <c r="B16" s="2" t="s">
        <v>44</v>
      </c>
      <c r="C16" s="2" t="s">
        <v>19</v>
      </c>
      <c r="D16" s="2" t="s">
        <v>20</v>
      </c>
      <c r="E16" s="2" t="s">
        <v>21</v>
      </c>
      <c r="F16" s="2" t="s">
        <v>74</v>
      </c>
      <c r="G16" s="2">
        <v>56</v>
      </c>
      <c r="H16" s="2" t="s">
        <v>23</v>
      </c>
      <c r="I16" s="2" t="s">
        <v>24</v>
      </c>
      <c r="J16" s="3">
        <v>45202</v>
      </c>
      <c r="K16" s="2" t="s">
        <v>49</v>
      </c>
      <c r="L16" s="2" t="s">
        <v>26</v>
      </c>
      <c r="M16" s="2">
        <v>14</v>
      </c>
      <c r="N16" s="2">
        <v>105</v>
      </c>
      <c r="O16" s="2">
        <v>155856</v>
      </c>
      <c r="P16" s="2" t="s">
        <v>27</v>
      </c>
      <c r="Q16" s="4">
        <f>Table2[[#This Row],[Room Booked]]*Table2[[#This Row],[Price]]</f>
        <v>2181984</v>
      </c>
      <c r="R16" s="4">
        <v>64290.6</v>
      </c>
    </row>
    <row r="17" spans="1:18" x14ac:dyDescent="0.3">
      <c r="A17" s="2">
        <v>2022</v>
      </c>
      <c r="B17" s="2" t="s">
        <v>44</v>
      </c>
      <c r="C17" s="2" t="s">
        <v>19</v>
      </c>
      <c r="D17" s="2" t="s">
        <v>20</v>
      </c>
      <c r="E17" s="2" t="s">
        <v>21</v>
      </c>
      <c r="F17" s="2" t="s">
        <v>75</v>
      </c>
      <c r="G17" s="2">
        <v>55</v>
      </c>
      <c r="H17" s="2" t="s">
        <v>23</v>
      </c>
      <c r="I17" s="2" t="s">
        <v>24</v>
      </c>
      <c r="J17" s="3">
        <v>44860</v>
      </c>
      <c r="K17" s="2" t="s">
        <v>65</v>
      </c>
      <c r="L17" s="2" t="s">
        <v>34</v>
      </c>
      <c r="M17" s="2">
        <v>21</v>
      </c>
      <c r="N17" s="2">
        <v>92</v>
      </c>
      <c r="O17" s="2">
        <v>1945</v>
      </c>
      <c r="P17" s="2" t="s">
        <v>50</v>
      </c>
      <c r="Q17" s="4">
        <f>Table2[[#This Row],[Room Booked]]*Table2[[#This Row],[Price]]</f>
        <v>40845</v>
      </c>
      <c r="R17" s="4">
        <v>19255.5</v>
      </c>
    </row>
    <row r="18" spans="1:18" x14ac:dyDescent="0.3">
      <c r="A18" s="2">
        <v>2023</v>
      </c>
      <c r="B18" s="2" t="s">
        <v>76</v>
      </c>
      <c r="C18" s="2" t="s">
        <v>70</v>
      </c>
      <c r="D18" s="2" t="s">
        <v>71</v>
      </c>
      <c r="E18" s="2" t="s">
        <v>72</v>
      </c>
      <c r="F18" s="2" t="s">
        <v>77</v>
      </c>
      <c r="G18" s="2">
        <v>19</v>
      </c>
      <c r="H18" s="2" t="s">
        <v>23</v>
      </c>
      <c r="I18" s="2" t="s">
        <v>24</v>
      </c>
      <c r="J18" s="3">
        <v>45138</v>
      </c>
      <c r="K18" s="2" t="s">
        <v>42</v>
      </c>
      <c r="L18" s="2" t="s">
        <v>43</v>
      </c>
      <c r="M18" s="2">
        <v>16</v>
      </c>
      <c r="N18" s="2">
        <v>110</v>
      </c>
      <c r="O18" s="2">
        <v>75528</v>
      </c>
      <c r="P18" s="2" t="s">
        <v>63</v>
      </c>
      <c r="Q18" s="4">
        <f>Table2[[#This Row],[Room Booked]]*Table2[[#This Row],[Price]]</f>
        <v>1208448</v>
      </c>
      <c r="R18" s="4">
        <v>107627.4</v>
      </c>
    </row>
    <row r="19" spans="1:18" x14ac:dyDescent="0.3">
      <c r="A19" s="2">
        <v>2022</v>
      </c>
      <c r="B19" s="2" t="s">
        <v>51</v>
      </c>
      <c r="C19" s="2" t="s">
        <v>59</v>
      </c>
      <c r="D19" s="2" t="s">
        <v>60</v>
      </c>
      <c r="E19" s="2" t="s">
        <v>61</v>
      </c>
      <c r="F19" s="2" t="s">
        <v>78</v>
      </c>
      <c r="G19" s="2">
        <v>58</v>
      </c>
      <c r="H19" s="2" t="s">
        <v>23</v>
      </c>
      <c r="I19" s="2" t="s">
        <v>24</v>
      </c>
      <c r="J19" s="3">
        <v>44811</v>
      </c>
      <c r="K19" s="2" t="s">
        <v>65</v>
      </c>
      <c r="L19" s="2" t="s">
        <v>34</v>
      </c>
      <c r="M19" s="2">
        <v>16</v>
      </c>
      <c r="N19" s="2">
        <v>119</v>
      </c>
      <c r="O19" s="2">
        <v>1683</v>
      </c>
      <c r="P19" s="2" t="s">
        <v>63</v>
      </c>
      <c r="Q19" s="4">
        <f>Table2[[#This Row],[Room Booked]]*Table2[[#This Row],[Price]]</f>
        <v>26928</v>
      </c>
      <c r="R19" s="4">
        <v>19691.099999999999</v>
      </c>
    </row>
    <row r="20" spans="1:18" x14ac:dyDescent="0.3">
      <c r="A20" s="2">
        <v>2022</v>
      </c>
      <c r="B20" s="2" t="s">
        <v>28</v>
      </c>
      <c r="C20" s="2" t="s">
        <v>70</v>
      </c>
      <c r="D20" s="2" t="s">
        <v>71</v>
      </c>
      <c r="E20" s="2" t="s">
        <v>72</v>
      </c>
      <c r="F20" s="2" t="s">
        <v>79</v>
      </c>
      <c r="G20" s="2">
        <v>42</v>
      </c>
      <c r="H20" s="2" t="s">
        <v>33</v>
      </c>
      <c r="I20" s="2" t="s">
        <v>24</v>
      </c>
      <c r="J20" s="3">
        <v>44665</v>
      </c>
      <c r="K20" s="2" t="s">
        <v>80</v>
      </c>
      <c r="L20" s="2" t="s">
        <v>26</v>
      </c>
      <c r="M20" s="2">
        <v>1</v>
      </c>
      <c r="N20" s="2">
        <v>83</v>
      </c>
      <c r="O20" s="2">
        <v>59136</v>
      </c>
      <c r="P20" s="2" t="s">
        <v>50</v>
      </c>
      <c r="Q20" s="4">
        <f>Table2[[#This Row],[Room Booked]]*Table2[[#This Row],[Price]]</f>
        <v>59136</v>
      </c>
      <c r="R20" s="4">
        <v>1108.8</v>
      </c>
    </row>
    <row r="21" spans="1:18" x14ac:dyDescent="0.3">
      <c r="A21" s="2">
        <v>2023</v>
      </c>
      <c r="B21" s="2" t="s">
        <v>47</v>
      </c>
      <c r="C21" s="2" t="s">
        <v>37</v>
      </c>
      <c r="D21" s="2" t="s">
        <v>38</v>
      </c>
      <c r="E21" s="2" t="s">
        <v>39</v>
      </c>
      <c r="F21" s="2" t="s">
        <v>81</v>
      </c>
      <c r="G21" s="2">
        <v>56</v>
      </c>
      <c r="H21" s="2" t="s">
        <v>23</v>
      </c>
      <c r="I21" s="2" t="s">
        <v>24</v>
      </c>
      <c r="J21" s="3">
        <v>45262</v>
      </c>
      <c r="K21" s="2" t="s">
        <v>46</v>
      </c>
      <c r="L21" s="2" t="s">
        <v>43</v>
      </c>
      <c r="M21" s="2">
        <v>38</v>
      </c>
      <c r="N21" s="2">
        <v>113</v>
      </c>
      <c r="O21" s="2">
        <v>5517</v>
      </c>
      <c r="P21" s="2" t="s">
        <v>63</v>
      </c>
      <c r="Q21" s="4">
        <f>Table2[[#This Row],[Room Booked]]*Table2[[#This Row],[Price]]</f>
        <v>209646</v>
      </c>
      <c r="R21" s="4">
        <v>122477.4</v>
      </c>
    </row>
    <row r="22" spans="1:18" x14ac:dyDescent="0.3">
      <c r="A22" s="2">
        <v>2023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82</v>
      </c>
      <c r="G22" s="2">
        <v>56</v>
      </c>
      <c r="H22" s="2" t="s">
        <v>33</v>
      </c>
      <c r="I22" s="2" t="s">
        <v>24</v>
      </c>
      <c r="J22" s="3">
        <v>44951</v>
      </c>
      <c r="K22" s="2" t="s">
        <v>25</v>
      </c>
      <c r="L22" s="2" t="s">
        <v>43</v>
      </c>
      <c r="M22" s="2">
        <v>8</v>
      </c>
      <c r="N22" s="2">
        <v>98</v>
      </c>
      <c r="O22" s="2">
        <v>3137</v>
      </c>
      <c r="P22" s="2" t="s">
        <v>27</v>
      </c>
      <c r="Q22" s="4">
        <f>Table2[[#This Row],[Room Booked]]*Table2[[#This Row],[Price]]</f>
        <v>25096</v>
      </c>
      <c r="R22" s="4">
        <v>82816.800000000003</v>
      </c>
    </row>
    <row r="23" spans="1:18" x14ac:dyDescent="0.3">
      <c r="A23" s="2">
        <v>2023</v>
      </c>
      <c r="B23" s="2" t="s">
        <v>76</v>
      </c>
      <c r="C23" s="2" t="s">
        <v>70</v>
      </c>
      <c r="D23" s="2" t="s">
        <v>71</v>
      </c>
      <c r="E23" s="2" t="s">
        <v>72</v>
      </c>
      <c r="F23" s="2" t="s">
        <v>83</v>
      </c>
      <c r="G23" s="2">
        <v>71</v>
      </c>
      <c r="H23" s="2" t="s">
        <v>33</v>
      </c>
      <c r="I23" s="2" t="s">
        <v>24</v>
      </c>
      <c r="J23" s="3">
        <v>45114</v>
      </c>
      <c r="K23" s="2" t="s">
        <v>49</v>
      </c>
      <c r="L23" s="2" t="s">
        <v>43</v>
      </c>
      <c r="M23" s="2">
        <v>3</v>
      </c>
      <c r="N23" s="2">
        <v>89</v>
      </c>
      <c r="O23" s="2">
        <v>93488</v>
      </c>
      <c r="P23" s="2" t="s">
        <v>27</v>
      </c>
      <c r="Q23" s="4">
        <f>Table2[[#This Row],[Room Booked]]*Table2[[#This Row],[Price]]</f>
        <v>280464</v>
      </c>
      <c r="R23" s="4">
        <v>16930.2</v>
      </c>
    </row>
    <row r="24" spans="1:18" x14ac:dyDescent="0.3">
      <c r="A24" s="2">
        <v>2022</v>
      </c>
      <c r="B24" s="2" t="s">
        <v>18</v>
      </c>
      <c r="C24" s="2" t="s">
        <v>70</v>
      </c>
      <c r="D24" s="2" t="s">
        <v>71</v>
      </c>
      <c r="E24" s="2" t="s">
        <v>72</v>
      </c>
      <c r="F24" s="2" t="s">
        <v>84</v>
      </c>
      <c r="G24" s="2">
        <v>21</v>
      </c>
      <c r="H24" s="2" t="s">
        <v>23</v>
      </c>
      <c r="I24" s="2" t="s">
        <v>24</v>
      </c>
      <c r="J24" s="3">
        <v>44586</v>
      </c>
      <c r="K24" s="2" t="s">
        <v>49</v>
      </c>
      <c r="L24" s="2" t="s">
        <v>26</v>
      </c>
      <c r="M24" s="2">
        <v>38</v>
      </c>
      <c r="N24" s="2">
        <v>92</v>
      </c>
      <c r="O24" s="2">
        <v>6456</v>
      </c>
      <c r="P24" s="2" t="s">
        <v>50</v>
      </c>
      <c r="Q24" s="4">
        <f>Table2[[#This Row],[Room Booked]]*Table2[[#This Row],[Price]]</f>
        <v>245328</v>
      </c>
      <c r="R24" s="4">
        <v>216755.1</v>
      </c>
    </row>
    <row r="25" spans="1:18" x14ac:dyDescent="0.3">
      <c r="A25" s="2">
        <v>2023</v>
      </c>
      <c r="B25" s="2" t="s">
        <v>69</v>
      </c>
      <c r="C25" s="2" t="s">
        <v>37</v>
      </c>
      <c r="D25" s="2" t="s">
        <v>38</v>
      </c>
      <c r="E25" s="2" t="s">
        <v>39</v>
      </c>
      <c r="F25" s="2" t="s">
        <v>85</v>
      </c>
      <c r="G25" s="2">
        <v>31</v>
      </c>
      <c r="H25" s="2" t="s">
        <v>33</v>
      </c>
      <c r="I25" s="2" t="s">
        <v>24</v>
      </c>
      <c r="J25" s="3">
        <v>45249</v>
      </c>
      <c r="K25" s="2" t="s">
        <v>46</v>
      </c>
      <c r="L25" s="2" t="s">
        <v>26</v>
      </c>
      <c r="M25" s="2">
        <v>44</v>
      </c>
      <c r="N25" s="2">
        <v>121</v>
      </c>
      <c r="O25" s="2">
        <v>8790</v>
      </c>
      <c r="P25" s="2" t="s">
        <v>35</v>
      </c>
      <c r="Q25" s="4">
        <f>Table2[[#This Row],[Room Booked]]*Table2[[#This Row],[Price]]</f>
        <v>386760</v>
      </c>
      <c r="R25" s="4">
        <v>152946</v>
      </c>
    </row>
    <row r="26" spans="1:18" x14ac:dyDescent="0.3">
      <c r="A26" s="2">
        <v>2022</v>
      </c>
      <c r="B26" s="2" t="s">
        <v>69</v>
      </c>
      <c r="C26" s="2" t="s">
        <v>19</v>
      </c>
      <c r="D26" s="2" t="s">
        <v>20</v>
      </c>
      <c r="E26" s="2" t="s">
        <v>21</v>
      </c>
      <c r="F26" s="2" t="s">
        <v>86</v>
      </c>
      <c r="G26" s="2">
        <v>29</v>
      </c>
      <c r="H26" s="2" t="s">
        <v>23</v>
      </c>
      <c r="I26" s="2" t="s">
        <v>24</v>
      </c>
      <c r="J26" s="3">
        <v>44885</v>
      </c>
      <c r="K26" s="2" t="s">
        <v>46</v>
      </c>
      <c r="L26" s="2" t="s">
        <v>43</v>
      </c>
      <c r="M26" s="2">
        <v>7</v>
      </c>
      <c r="N26" s="2">
        <v>111</v>
      </c>
      <c r="O26" s="2">
        <v>9488</v>
      </c>
      <c r="P26" s="2" t="s">
        <v>27</v>
      </c>
      <c r="Q26" s="4">
        <f>Table2[[#This Row],[Room Booked]]*Table2[[#This Row],[Price]]</f>
        <v>66416</v>
      </c>
      <c r="R26" s="4">
        <v>19924.8</v>
      </c>
    </row>
    <row r="27" spans="1:18" x14ac:dyDescent="0.3">
      <c r="A27" s="2">
        <v>2023</v>
      </c>
      <c r="B27" s="2" t="s">
        <v>57</v>
      </c>
      <c r="C27" s="2" t="s">
        <v>87</v>
      </c>
      <c r="D27" s="2" t="s">
        <v>71</v>
      </c>
      <c r="E27" s="2" t="s">
        <v>72</v>
      </c>
      <c r="F27" s="2" t="s">
        <v>88</v>
      </c>
      <c r="G27" s="2">
        <v>69</v>
      </c>
      <c r="H27" s="2" t="s">
        <v>23</v>
      </c>
      <c r="I27" s="2" t="s">
        <v>24</v>
      </c>
      <c r="J27" s="3">
        <v>45068</v>
      </c>
      <c r="K27" s="2" t="s">
        <v>65</v>
      </c>
      <c r="L27" s="2" t="s">
        <v>26</v>
      </c>
      <c r="M27" s="2">
        <v>21</v>
      </c>
      <c r="N27" s="2">
        <v>108</v>
      </c>
      <c r="O27" s="2">
        <v>5691</v>
      </c>
      <c r="P27" s="2" t="s">
        <v>27</v>
      </c>
      <c r="Q27" s="4">
        <f>Table2[[#This Row],[Room Booked]]*Table2[[#This Row],[Price]]</f>
        <v>119511</v>
      </c>
      <c r="R27" s="4">
        <v>88779.599999999991</v>
      </c>
    </row>
    <row r="28" spans="1:18" x14ac:dyDescent="0.3">
      <c r="A28" s="2">
        <v>2023</v>
      </c>
      <c r="B28" s="2" t="s">
        <v>51</v>
      </c>
      <c r="C28" s="2" t="s">
        <v>19</v>
      </c>
      <c r="D28" s="2" t="s">
        <v>20</v>
      </c>
      <c r="E28" s="2" t="s">
        <v>21</v>
      </c>
      <c r="F28" s="2" t="s">
        <v>89</v>
      </c>
      <c r="G28" s="2">
        <v>58</v>
      </c>
      <c r="H28" s="2" t="s">
        <v>23</v>
      </c>
      <c r="I28" s="2" t="s">
        <v>24</v>
      </c>
      <c r="J28" s="3">
        <v>45190</v>
      </c>
      <c r="K28" s="2" t="s">
        <v>25</v>
      </c>
      <c r="L28" s="2" t="s">
        <v>34</v>
      </c>
      <c r="M28" s="2">
        <v>16</v>
      </c>
      <c r="N28" s="2">
        <v>99</v>
      </c>
      <c r="O28" s="2">
        <v>9224</v>
      </c>
      <c r="P28" s="2" t="s">
        <v>27</v>
      </c>
      <c r="Q28" s="4">
        <f>Table2[[#This Row],[Room Booked]]*Table2[[#This Row],[Price]]</f>
        <v>147584</v>
      </c>
      <c r="R28" s="4">
        <v>132825.60000000001</v>
      </c>
    </row>
    <row r="29" spans="1:18" x14ac:dyDescent="0.3">
      <c r="A29" s="2">
        <v>2023</v>
      </c>
      <c r="B29" s="2" t="s">
        <v>57</v>
      </c>
      <c r="C29" s="2" t="s">
        <v>59</v>
      </c>
      <c r="D29" s="2" t="s">
        <v>20</v>
      </c>
      <c r="E29" s="2" t="s">
        <v>21</v>
      </c>
      <c r="F29" s="2" t="s">
        <v>90</v>
      </c>
      <c r="G29" s="2">
        <v>56</v>
      </c>
      <c r="H29" s="2" t="s">
        <v>23</v>
      </c>
      <c r="I29" s="2" t="s">
        <v>41</v>
      </c>
      <c r="J29" s="3">
        <v>45074</v>
      </c>
      <c r="K29" s="2" t="s">
        <v>42</v>
      </c>
      <c r="L29" s="2" t="s">
        <v>43</v>
      </c>
      <c r="M29" s="2">
        <v>2</v>
      </c>
      <c r="N29" s="2">
        <v>80</v>
      </c>
      <c r="O29" s="2">
        <v>51720</v>
      </c>
      <c r="P29" s="2" t="s">
        <v>27</v>
      </c>
      <c r="Q29" s="4">
        <f>Table2[[#This Row],[Room Booked]]*Table2[[#This Row],[Price]]</f>
        <v>103440</v>
      </c>
      <c r="R29" s="4">
        <v>9697.5</v>
      </c>
    </row>
    <row r="30" spans="1:18" x14ac:dyDescent="0.3">
      <c r="A30" s="2">
        <v>2022</v>
      </c>
      <c r="B30" s="2" t="s">
        <v>53</v>
      </c>
      <c r="C30" s="2" t="s">
        <v>91</v>
      </c>
      <c r="D30" s="2" t="s">
        <v>92</v>
      </c>
      <c r="E30" s="2" t="s">
        <v>93</v>
      </c>
      <c r="F30" s="2" t="s">
        <v>22</v>
      </c>
      <c r="G30" s="2">
        <v>57</v>
      </c>
      <c r="H30" s="2" t="s">
        <v>23</v>
      </c>
      <c r="I30" s="2" t="s">
        <v>41</v>
      </c>
      <c r="J30" s="3">
        <v>44622</v>
      </c>
      <c r="K30" s="2" t="s">
        <v>46</v>
      </c>
      <c r="L30" s="2" t="s">
        <v>34</v>
      </c>
      <c r="M30" s="2">
        <v>14</v>
      </c>
      <c r="N30" s="2">
        <v>109</v>
      </c>
      <c r="O30" s="2">
        <v>4524</v>
      </c>
      <c r="P30" s="2" t="s">
        <v>27</v>
      </c>
      <c r="Q30" s="4">
        <f>Table2[[#This Row],[Room Booked]]*Table2[[#This Row],[Price]]</f>
        <v>63336</v>
      </c>
      <c r="R30" s="4">
        <v>44787.6</v>
      </c>
    </row>
    <row r="31" spans="1:18" x14ac:dyDescent="0.3">
      <c r="A31" s="2">
        <v>2022</v>
      </c>
      <c r="B31" s="2" t="s">
        <v>53</v>
      </c>
      <c r="C31" s="2" t="s">
        <v>91</v>
      </c>
      <c r="D31" s="2" t="s">
        <v>92</v>
      </c>
      <c r="E31" s="2" t="s">
        <v>93</v>
      </c>
      <c r="F31" s="2" t="s">
        <v>32</v>
      </c>
      <c r="G31" s="2">
        <v>57</v>
      </c>
      <c r="H31" s="2" t="s">
        <v>33</v>
      </c>
      <c r="I31" s="2" t="s">
        <v>41</v>
      </c>
      <c r="J31" s="3">
        <v>44624</v>
      </c>
      <c r="K31" s="2" t="s">
        <v>65</v>
      </c>
      <c r="L31" s="2" t="s">
        <v>43</v>
      </c>
      <c r="M31" s="2">
        <v>39</v>
      </c>
      <c r="N31" s="2">
        <v>82</v>
      </c>
      <c r="O31" s="2">
        <v>2691</v>
      </c>
      <c r="P31" s="2" t="s">
        <v>63</v>
      </c>
      <c r="Q31" s="4">
        <f>Table2[[#This Row],[Room Booked]]*Table2[[#This Row],[Price]]</f>
        <v>104949</v>
      </c>
      <c r="R31" s="4">
        <v>78308.099999999991</v>
      </c>
    </row>
    <row r="32" spans="1:18" x14ac:dyDescent="0.3">
      <c r="A32" s="2">
        <v>2023</v>
      </c>
      <c r="B32" s="2" t="s">
        <v>51</v>
      </c>
      <c r="C32" s="2" t="s">
        <v>29</v>
      </c>
      <c r="D32" s="2" t="s">
        <v>20</v>
      </c>
      <c r="E32" s="2" t="s">
        <v>21</v>
      </c>
      <c r="F32" s="2" t="s">
        <v>40</v>
      </c>
      <c r="G32" s="2">
        <v>60</v>
      </c>
      <c r="H32" s="2" t="s">
        <v>33</v>
      </c>
      <c r="I32" s="2" t="s">
        <v>24</v>
      </c>
      <c r="J32" s="3">
        <v>45171</v>
      </c>
      <c r="K32" s="2" t="s">
        <v>49</v>
      </c>
      <c r="L32" s="2" t="s">
        <v>34</v>
      </c>
      <c r="M32" s="2">
        <v>43</v>
      </c>
      <c r="N32" s="2">
        <v>104</v>
      </c>
      <c r="O32" s="2">
        <v>93888</v>
      </c>
      <c r="P32" s="2" t="s">
        <v>63</v>
      </c>
      <c r="Q32" s="4">
        <f>Table2[[#This Row],[Room Booked]]*Table2[[#This Row],[Price]]</f>
        <v>4037184</v>
      </c>
      <c r="R32" s="4">
        <v>96235.199999999997</v>
      </c>
    </row>
    <row r="33" spans="1:18" x14ac:dyDescent="0.3">
      <c r="A33" s="2">
        <v>2023</v>
      </c>
      <c r="B33" s="2" t="s">
        <v>69</v>
      </c>
      <c r="C33" s="2" t="s">
        <v>37</v>
      </c>
      <c r="D33" s="2" t="s">
        <v>38</v>
      </c>
      <c r="E33" s="2" t="s">
        <v>39</v>
      </c>
      <c r="F33" s="2" t="s">
        <v>45</v>
      </c>
      <c r="G33" s="2">
        <v>28</v>
      </c>
      <c r="H33" s="2" t="s">
        <v>23</v>
      </c>
      <c r="I33" s="2" t="s">
        <v>24</v>
      </c>
      <c r="J33" s="3">
        <v>45243</v>
      </c>
      <c r="K33" s="2" t="s">
        <v>46</v>
      </c>
      <c r="L33" s="2" t="s">
        <v>43</v>
      </c>
      <c r="M33" s="2">
        <v>27</v>
      </c>
      <c r="N33" s="2">
        <v>118</v>
      </c>
      <c r="O33" s="2">
        <v>6681</v>
      </c>
      <c r="P33" s="2" t="s">
        <v>50</v>
      </c>
      <c r="Q33" s="4">
        <f>Table2[[#This Row],[Room Booked]]*Table2[[#This Row],[Price]]</f>
        <v>180387</v>
      </c>
      <c r="R33" s="4">
        <v>132283.79999999999</v>
      </c>
    </row>
    <row r="34" spans="1:18" x14ac:dyDescent="0.3">
      <c r="A34" s="2">
        <v>2023</v>
      </c>
      <c r="B34" s="2" t="s">
        <v>47</v>
      </c>
      <c r="C34" s="2" t="s">
        <v>37</v>
      </c>
      <c r="D34" s="2" t="s">
        <v>38</v>
      </c>
      <c r="E34" s="2" t="s">
        <v>39</v>
      </c>
      <c r="F34" s="2" t="s">
        <v>48</v>
      </c>
      <c r="G34" s="2">
        <v>38</v>
      </c>
      <c r="H34" s="2" t="s">
        <v>23</v>
      </c>
      <c r="I34" s="2" t="s">
        <v>24</v>
      </c>
      <c r="J34" s="3">
        <v>45291</v>
      </c>
      <c r="K34" s="2" t="s">
        <v>42</v>
      </c>
      <c r="L34" s="2" t="s">
        <v>43</v>
      </c>
      <c r="M34" s="2">
        <v>16</v>
      </c>
      <c r="N34" s="2">
        <v>104</v>
      </c>
      <c r="O34" s="2">
        <v>33680</v>
      </c>
      <c r="P34" s="2" t="s">
        <v>35</v>
      </c>
      <c r="Q34" s="4">
        <f>Table2[[#This Row],[Room Booked]]*Table2[[#This Row],[Price]]</f>
        <v>538880</v>
      </c>
      <c r="R34" s="4">
        <v>71991</v>
      </c>
    </row>
    <row r="35" spans="1:18" x14ac:dyDescent="0.3">
      <c r="A35" s="2">
        <v>2022</v>
      </c>
      <c r="B35" s="2" t="s">
        <v>55</v>
      </c>
      <c r="C35" s="2" t="s">
        <v>94</v>
      </c>
      <c r="D35" s="2" t="s">
        <v>20</v>
      </c>
      <c r="E35" s="2" t="s">
        <v>21</v>
      </c>
      <c r="F35" s="2" t="s">
        <v>52</v>
      </c>
      <c r="G35" s="2">
        <v>56</v>
      </c>
      <c r="H35" s="2" t="s">
        <v>33</v>
      </c>
      <c r="I35" s="2" t="s">
        <v>24</v>
      </c>
      <c r="J35" s="3">
        <v>44786</v>
      </c>
      <c r="K35" s="2" t="s">
        <v>65</v>
      </c>
      <c r="L35" s="2" t="s">
        <v>34</v>
      </c>
      <c r="M35" s="2">
        <v>20</v>
      </c>
      <c r="N35" s="2">
        <v>93</v>
      </c>
      <c r="O35" s="2">
        <v>2344</v>
      </c>
      <c r="P35" s="2" t="s">
        <v>27</v>
      </c>
      <c r="Q35" s="4">
        <f>Table2[[#This Row],[Room Booked]]*Table2[[#This Row],[Price]]</f>
        <v>46880</v>
      </c>
      <c r="R35" s="4">
        <v>44301.599999999999</v>
      </c>
    </row>
    <row r="36" spans="1:18" x14ac:dyDescent="0.3">
      <c r="A36" s="2">
        <v>2022</v>
      </c>
      <c r="B36" s="2" t="s">
        <v>18</v>
      </c>
      <c r="C36" s="2" t="s">
        <v>37</v>
      </c>
      <c r="D36" s="2" t="s">
        <v>38</v>
      </c>
      <c r="E36" s="2" t="s">
        <v>39</v>
      </c>
      <c r="F36" s="2" t="s">
        <v>54</v>
      </c>
      <c r="G36" s="2">
        <v>68</v>
      </c>
      <c r="H36" s="2" t="s">
        <v>33</v>
      </c>
      <c r="I36" s="2" t="s">
        <v>24</v>
      </c>
      <c r="J36" s="3">
        <v>44584</v>
      </c>
      <c r="K36" s="2" t="s">
        <v>80</v>
      </c>
      <c r="L36" s="2" t="s">
        <v>43</v>
      </c>
      <c r="M36" s="2">
        <v>76</v>
      </c>
      <c r="N36" s="2">
        <v>110</v>
      </c>
      <c r="O36" s="2">
        <v>161408</v>
      </c>
      <c r="P36" s="2" t="s">
        <v>27</v>
      </c>
      <c r="Q36" s="4">
        <f>Table2[[#This Row],[Room Booked]]*Table2[[#This Row],[Price]]</f>
        <v>12267008</v>
      </c>
      <c r="R36" s="4">
        <v>43882.799999999996</v>
      </c>
    </row>
    <row r="37" spans="1:18" x14ac:dyDescent="0.3">
      <c r="A37" s="2">
        <v>2023</v>
      </c>
      <c r="B37" s="2" t="s">
        <v>53</v>
      </c>
      <c r="C37" s="2" t="s">
        <v>37</v>
      </c>
      <c r="D37" s="2" t="s">
        <v>38</v>
      </c>
      <c r="E37" s="2" t="s">
        <v>39</v>
      </c>
      <c r="F37" s="2" t="s">
        <v>56</v>
      </c>
      <c r="G37" s="2">
        <v>50</v>
      </c>
      <c r="H37" s="2" t="s">
        <v>33</v>
      </c>
      <c r="I37" s="2" t="s">
        <v>24</v>
      </c>
      <c r="J37" s="3">
        <v>44989</v>
      </c>
      <c r="K37" s="2" t="s">
        <v>49</v>
      </c>
      <c r="L37" s="2" t="s">
        <v>43</v>
      </c>
      <c r="M37" s="2">
        <v>20</v>
      </c>
      <c r="N37" s="2">
        <v>81</v>
      </c>
      <c r="O37" s="2">
        <v>114744</v>
      </c>
      <c r="P37" s="2" t="s">
        <v>27</v>
      </c>
      <c r="Q37" s="4">
        <f>Table2[[#This Row],[Room Booked]]*Table2[[#This Row],[Price]]</f>
        <v>2294880</v>
      </c>
      <c r="R37" s="4">
        <v>58806.299999999996</v>
      </c>
    </row>
    <row r="38" spans="1:18" x14ac:dyDescent="0.3">
      <c r="A38" s="2">
        <v>2022</v>
      </c>
      <c r="B38" s="2" t="s">
        <v>47</v>
      </c>
      <c r="C38" s="2" t="s">
        <v>37</v>
      </c>
      <c r="D38" s="2" t="s">
        <v>38</v>
      </c>
      <c r="E38" s="2" t="s">
        <v>39</v>
      </c>
      <c r="F38" s="2" t="s">
        <v>58</v>
      </c>
      <c r="G38" s="2">
        <v>46</v>
      </c>
      <c r="H38" s="2" t="s">
        <v>23</v>
      </c>
      <c r="I38" s="2" t="s">
        <v>24</v>
      </c>
      <c r="J38" s="3">
        <v>44906</v>
      </c>
      <c r="K38" s="2" t="s">
        <v>65</v>
      </c>
      <c r="L38" s="2" t="s">
        <v>43</v>
      </c>
      <c r="M38" s="2">
        <v>32</v>
      </c>
      <c r="N38" s="2">
        <v>101</v>
      </c>
      <c r="O38" s="2">
        <v>7104</v>
      </c>
      <c r="P38" s="2" t="s">
        <v>35</v>
      </c>
      <c r="Q38" s="4">
        <f>Table2[[#This Row],[Room Booked]]*Table2[[#This Row],[Price]]</f>
        <v>227328</v>
      </c>
      <c r="R38" s="4">
        <v>166233.60000000001</v>
      </c>
    </row>
    <row r="39" spans="1:18" x14ac:dyDescent="0.3">
      <c r="A39" s="2">
        <v>2022</v>
      </c>
      <c r="B39" s="2" t="s">
        <v>36</v>
      </c>
      <c r="C39" s="2" t="s">
        <v>87</v>
      </c>
      <c r="D39" s="2" t="s">
        <v>71</v>
      </c>
      <c r="E39" s="2" t="s">
        <v>72</v>
      </c>
      <c r="F39" s="2" t="s">
        <v>62</v>
      </c>
      <c r="G39" s="2">
        <v>47</v>
      </c>
      <c r="H39" s="2" t="s">
        <v>33</v>
      </c>
      <c r="I39" s="2" t="s">
        <v>24</v>
      </c>
      <c r="J39" s="3">
        <v>44727</v>
      </c>
      <c r="K39" s="2" t="s">
        <v>25</v>
      </c>
      <c r="L39" s="2" t="s">
        <v>26</v>
      </c>
      <c r="M39" s="2">
        <v>15</v>
      </c>
      <c r="N39" s="2">
        <v>120</v>
      </c>
      <c r="O39" s="2">
        <v>5655</v>
      </c>
      <c r="P39" s="2" t="s">
        <v>63</v>
      </c>
      <c r="Q39" s="4">
        <f>Table2[[#This Row],[Room Booked]]*Table2[[#This Row],[Price]]</f>
        <v>84825</v>
      </c>
      <c r="R39" s="4">
        <v>62770.5</v>
      </c>
    </row>
    <row r="40" spans="1:18" x14ac:dyDescent="0.3">
      <c r="A40" s="2">
        <v>2023</v>
      </c>
      <c r="B40" s="2" t="s">
        <v>55</v>
      </c>
      <c r="C40" s="2" t="s">
        <v>91</v>
      </c>
      <c r="D40" s="2" t="s">
        <v>20</v>
      </c>
      <c r="E40" s="2" t="s">
        <v>21</v>
      </c>
      <c r="F40" s="2" t="s">
        <v>64</v>
      </c>
      <c r="G40" s="2">
        <v>26</v>
      </c>
      <c r="H40" s="2" t="s">
        <v>33</v>
      </c>
      <c r="I40" s="2" t="s">
        <v>24</v>
      </c>
      <c r="J40" s="3">
        <v>45148</v>
      </c>
      <c r="K40" s="2" t="s">
        <v>25</v>
      </c>
      <c r="L40" s="2" t="s">
        <v>26</v>
      </c>
      <c r="M40" s="2">
        <v>7</v>
      </c>
      <c r="N40" s="2">
        <v>119</v>
      </c>
      <c r="O40" s="2">
        <v>7802</v>
      </c>
      <c r="P40" s="2" t="s">
        <v>27</v>
      </c>
      <c r="Q40" s="4">
        <f>Table2[[#This Row],[Room Booked]]*Table2[[#This Row],[Price]]</f>
        <v>54614</v>
      </c>
      <c r="R40" s="4">
        <v>16384.2</v>
      </c>
    </row>
    <row r="41" spans="1:18" x14ac:dyDescent="0.3">
      <c r="A41" s="2">
        <v>2023</v>
      </c>
      <c r="B41" s="2" t="s">
        <v>28</v>
      </c>
      <c r="C41" s="2" t="s">
        <v>87</v>
      </c>
      <c r="D41" s="2" t="s">
        <v>71</v>
      </c>
      <c r="E41" s="2" t="s">
        <v>72</v>
      </c>
      <c r="F41" s="2" t="s">
        <v>66</v>
      </c>
      <c r="G41" s="2">
        <v>55</v>
      </c>
      <c r="H41" s="2" t="s">
        <v>33</v>
      </c>
      <c r="I41" s="2" t="s">
        <v>24</v>
      </c>
      <c r="J41" s="3">
        <v>45041</v>
      </c>
      <c r="K41" s="2" t="s">
        <v>80</v>
      </c>
      <c r="L41" s="2" t="s">
        <v>26</v>
      </c>
      <c r="M41" s="2">
        <v>7</v>
      </c>
      <c r="N41" s="2">
        <v>84</v>
      </c>
      <c r="O41" s="2">
        <v>19840</v>
      </c>
      <c r="P41" s="2" t="s">
        <v>63</v>
      </c>
      <c r="Q41" s="4">
        <f>Table2[[#This Row],[Room Booked]]*Table2[[#This Row],[Price]]</f>
        <v>138880</v>
      </c>
      <c r="R41" s="4">
        <v>2976</v>
      </c>
    </row>
    <row r="42" spans="1:18" x14ac:dyDescent="0.3">
      <c r="A42" s="2">
        <v>2023</v>
      </c>
      <c r="B42" s="2" t="s">
        <v>36</v>
      </c>
      <c r="C42" s="2" t="s">
        <v>87</v>
      </c>
      <c r="D42" s="2" t="s">
        <v>71</v>
      </c>
      <c r="E42" s="2" t="s">
        <v>72</v>
      </c>
      <c r="F42" s="2" t="s">
        <v>67</v>
      </c>
      <c r="G42" s="2">
        <v>57</v>
      </c>
      <c r="H42" s="2" t="s">
        <v>23</v>
      </c>
      <c r="I42" s="2" t="s">
        <v>24</v>
      </c>
      <c r="J42" s="3">
        <v>45088</v>
      </c>
      <c r="K42" s="2" t="s">
        <v>68</v>
      </c>
      <c r="L42" s="2" t="s">
        <v>43</v>
      </c>
      <c r="M42" s="2">
        <v>40</v>
      </c>
      <c r="N42" s="2">
        <v>97</v>
      </c>
      <c r="O42" s="2">
        <v>50560</v>
      </c>
      <c r="P42" s="2" t="s">
        <v>63</v>
      </c>
      <c r="Q42" s="4">
        <f>Table2[[#This Row],[Room Booked]]*Table2[[#This Row],[Price]]</f>
        <v>2022400</v>
      </c>
      <c r="R42" s="4">
        <v>77517</v>
      </c>
    </row>
    <row r="43" spans="1:18" x14ac:dyDescent="0.3">
      <c r="A43" s="2">
        <v>2022</v>
      </c>
      <c r="B43" s="2" t="s">
        <v>36</v>
      </c>
      <c r="C43" s="2" t="s">
        <v>37</v>
      </c>
      <c r="D43" s="2" t="s">
        <v>38</v>
      </c>
      <c r="E43" s="2" t="s">
        <v>39</v>
      </c>
      <c r="F43" s="2" t="s">
        <v>73</v>
      </c>
      <c r="G43" s="2">
        <v>69</v>
      </c>
      <c r="H43" s="2" t="s">
        <v>23</v>
      </c>
      <c r="I43" s="2" t="s">
        <v>24</v>
      </c>
      <c r="J43" s="3">
        <v>44715</v>
      </c>
      <c r="K43" s="2" t="s">
        <v>65</v>
      </c>
      <c r="L43" s="2" t="s">
        <v>43</v>
      </c>
      <c r="M43" s="2">
        <v>37</v>
      </c>
      <c r="N43" s="2">
        <v>107</v>
      </c>
      <c r="O43" s="2">
        <v>4351</v>
      </c>
      <c r="P43" s="2" t="s">
        <v>27</v>
      </c>
      <c r="Q43" s="4">
        <f>Table2[[#This Row],[Room Booked]]*Table2[[#This Row],[Price]]</f>
        <v>160987</v>
      </c>
      <c r="R43" s="4">
        <v>118782.29999999999</v>
      </c>
    </row>
    <row r="44" spans="1:18" x14ac:dyDescent="0.3">
      <c r="A44" s="2">
        <v>2022</v>
      </c>
      <c r="B44" s="2" t="s">
        <v>55</v>
      </c>
      <c r="C44" s="2" t="s">
        <v>87</v>
      </c>
      <c r="D44" s="2" t="s">
        <v>71</v>
      </c>
      <c r="E44" s="2" t="s">
        <v>72</v>
      </c>
      <c r="F44" s="2" t="s">
        <v>74</v>
      </c>
      <c r="G44" s="2">
        <v>23</v>
      </c>
      <c r="H44" s="2" t="s">
        <v>33</v>
      </c>
      <c r="I44" s="2" t="s">
        <v>24</v>
      </c>
      <c r="J44" s="3">
        <v>44790</v>
      </c>
      <c r="K44" s="2" t="s">
        <v>49</v>
      </c>
      <c r="L44" s="2" t="s">
        <v>43</v>
      </c>
      <c r="M44" s="2">
        <v>10</v>
      </c>
      <c r="N44" s="2">
        <v>97</v>
      </c>
      <c r="O44" s="2">
        <v>118152</v>
      </c>
      <c r="P44" s="2" t="s">
        <v>63</v>
      </c>
      <c r="Q44" s="4">
        <f>Table2[[#This Row],[Room Booked]]*Table2[[#This Row],[Price]]</f>
        <v>1181520</v>
      </c>
      <c r="R44" s="4">
        <v>146213.1</v>
      </c>
    </row>
    <row r="45" spans="1:18" x14ac:dyDescent="0.3">
      <c r="A45" s="2">
        <v>2022</v>
      </c>
      <c r="B45" s="2" t="s">
        <v>55</v>
      </c>
      <c r="C45" s="2" t="s">
        <v>94</v>
      </c>
      <c r="D45" s="2" t="s">
        <v>60</v>
      </c>
      <c r="E45" s="2" t="s">
        <v>61</v>
      </c>
      <c r="F45" s="2" t="s">
        <v>75</v>
      </c>
      <c r="G45" s="2">
        <v>54</v>
      </c>
      <c r="H45" s="2" t="s">
        <v>23</v>
      </c>
      <c r="I45" s="2" t="s">
        <v>24</v>
      </c>
      <c r="J45" s="3">
        <v>44776</v>
      </c>
      <c r="K45" s="2" t="s">
        <v>68</v>
      </c>
      <c r="L45" s="2" t="s">
        <v>43</v>
      </c>
      <c r="M45" s="2">
        <v>28</v>
      </c>
      <c r="N45" s="2">
        <v>123</v>
      </c>
      <c r="O45" s="2">
        <v>52768</v>
      </c>
      <c r="P45" s="2" t="s">
        <v>63</v>
      </c>
      <c r="Q45" s="4">
        <f>Table2[[#This Row],[Room Booked]]*Table2[[#This Row],[Price]]</f>
        <v>1477504</v>
      </c>
      <c r="R45" s="4">
        <v>117463.2</v>
      </c>
    </row>
    <row r="46" spans="1:18" x14ac:dyDescent="0.3">
      <c r="A46" s="2">
        <v>2023</v>
      </c>
      <c r="B46" s="2" t="s">
        <v>76</v>
      </c>
      <c r="C46" s="2" t="s">
        <v>37</v>
      </c>
      <c r="D46" s="2" t="s">
        <v>20</v>
      </c>
      <c r="E46" s="2" t="s">
        <v>21</v>
      </c>
      <c r="F46" s="2" t="s">
        <v>77</v>
      </c>
      <c r="G46" s="2">
        <v>62</v>
      </c>
      <c r="H46" s="2" t="s">
        <v>23</v>
      </c>
      <c r="I46" s="2" t="s">
        <v>24</v>
      </c>
      <c r="J46" s="3">
        <v>45125</v>
      </c>
      <c r="K46" s="2" t="s">
        <v>42</v>
      </c>
      <c r="L46" s="2" t="s">
        <v>43</v>
      </c>
      <c r="M46" s="2">
        <v>24</v>
      </c>
      <c r="N46" s="2">
        <v>104</v>
      </c>
      <c r="O46" s="2">
        <v>26616</v>
      </c>
      <c r="P46" s="2" t="s">
        <v>27</v>
      </c>
      <c r="Q46" s="4">
        <f>Table2[[#This Row],[Room Booked]]*Table2[[#This Row],[Price]]</f>
        <v>638784</v>
      </c>
      <c r="R46" s="4">
        <v>58887.9</v>
      </c>
    </row>
    <row r="47" spans="1:18" x14ac:dyDescent="0.3">
      <c r="A47" s="2">
        <v>2023</v>
      </c>
      <c r="B47" s="2" t="s">
        <v>36</v>
      </c>
      <c r="C47" s="2" t="s">
        <v>94</v>
      </c>
      <c r="D47" s="2" t="s">
        <v>60</v>
      </c>
      <c r="E47" s="2" t="s">
        <v>61</v>
      </c>
      <c r="F47" s="2" t="s">
        <v>78</v>
      </c>
      <c r="G47" s="2">
        <v>68</v>
      </c>
      <c r="H47" s="2" t="s">
        <v>33</v>
      </c>
      <c r="I47" s="2" t="s">
        <v>24</v>
      </c>
      <c r="J47" s="3">
        <v>45099</v>
      </c>
      <c r="K47" s="2" t="s">
        <v>68</v>
      </c>
      <c r="L47" s="2" t="s">
        <v>26</v>
      </c>
      <c r="M47" s="2">
        <v>28</v>
      </c>
      <c r="N47" s="2">
        <v>99</v>
      </c>
      <c r="O47" s="2">
        <v>23616</v>
      </c>
      <c r="P47" s="2" t="s">
        <v>50</v>
      </c>
      <c r="Q47" s="4">
        <f>Table2[[#This Row],[Room Booked]]*Table2[[#This Row],[Price]]</f>
        <v>661248</v>
      </c>
      <c r="R47" s="4">
        <v>31350.3</v>
      </c>
    </row>
    <row r="48" spans="1:18" x14ac:dyDescent="0.3">
      <c r="A48" s="2">
        <v>2022</v>
      </c>
      <c r="B48" s="2" t="s">
        <v>36</v>
      </c>
      <c r="C48" s="2" t="s">
        <v>87</v>
      </c>
      <c r="D48" s="2" t="s">
        <v>71</v>
      </c>
      <c r="E48" s="2" t="s">
        <v>72</v>
      </c>
      <c r="F48" s="2" t="s">
        <v>79</v>
      </c>
      <c r="G48" s="2">
        <v>38</v>
      </c>
      <c r="H48" s="2" t="s">
        <v>33</v>
      </c>
      <c r="I48" s="2" t="s">
        <v>24</v>
      </c>
      <c r="J48" s="3">
        <v>44739</v>
      </c>
      <c r="K48" s="2" t="s">
        <v>46</v>
      </c>
      <c r="L48" s="2" t="s">
        <v>43</v>
      </c>
      <c r="M48" s="2">
        <v>30</v>
      </c>
      <c r="N48" s="2">
        <v>84</v>
      </c>
      <c r="O48" s="2">
        <v>7804</v>
      </c>
      <c r="P48" s="2" t="s">
        <v>27</v>
      </c>
      <c r="Q48" s="4">
        <f>Table2[[#This Row],[Room Booked]]*Table2[[#This Row],[Price]]</f>
        <v>234120</v>
      </c>
      <c r="R48" s="4">
        <v>173248.8</v>
      </c>
    </row>
    <row r="49" spans="1:18" x14ac:dyDescent="0.3">
      <c r="A49" s="2">
        <v>2022</v>
      </c>
      <c r="B49" s="2" t="s">
        <v>53</v>
      </c>
      <c r="C49" s="2" t="s">
        <v>37</v>
      </c>
      <c r="D49" s="2" t="s">
        <v>20</v>
      </c>
      <c r="E49" s="2" t="s">
        <v>21</v>
      </c>
      <c r="F49" s="2" t="s">
        <v>81</v>
      </c>
      <c r="G49" s="2">
        <v>40</v>
      </c>
      <c r="H49" s="2" t="s">
        <v>33</v>
      </c>
      <c r="I49" s="2" t="s">
        <v>24</v>
      </c>
      <c r="J49" s="3">
        <v>44629</v>
      </c>
      <c r="K49" s="2" t="s">
        <v>25</v>
      </c>
      <c r="L49" s="2" t="s">
        <v>26</v>
      </c>
      <c r="M49" s="2">
        <v>10</v>
      </c>
      <c r="N49" s="2">
        <v>118</v>
      </c>
      <c r="O49" s="2">
        <v>9387</v>
      </c>
      <c r="P49" s="2" t="s">
        <v>63</v>
      </c>
      <c r="Q49" s="4">
        <f>Table2[[#This Row],[Room Booked]]*Table2[[#This Row],[Price]]</f>
        <v>93870</v>
      </c>
      <c r="R49" s="4">
        <v>67586.399999999994</v>
      </c>
    </row>
    <row r="50" spans="1:18" x14ac:dyDescent="0.3">
      <c r="A50" s="2">
        <v>2022</v>
      </c>
      <c r="B50" s="2" t="s">
        <v>51</v>
      </c>
      <c r="C50" s="2" t="s">
        <v>87</v>
      </c>
      <c r="D50" s="2" t="s">
        <v>71</v>
      </c>
      <c r="E50" s="2" t="s">
        <v>72</v>
      </c>
      <c r="F50" s="2" t="s">
        <v>82</v>
      </c>
      <c r="G50" s="2">
        <v>20</v>
      </c>
      <c r="H50" s="2" t="s">
        <v>23</v>
      </c>
      <c r="I50" s="2" t="s">
        <v>24</v>
      </c>
      <c r="J50" s="3">
        <v>44810</v>
      </c>
      <c r="K50" s="2" t="s">
        <v>46</v>
      </c>
      <c r="L50" s="2" t="s">
        <v>34</v>
      </c>
      <c r="M50" s="2">
        <v>19</v>
      </c>
      <c r="N50" s="2">
        <v>83</v>
      </c>
      <c r="O50" s="2">
        <v>6073</v>
      </c>
      <c r="P50" s="2" t="s">
        <v>27</v>
      </c>
      <c r="Q50" s="4">
        <f>Table2[[#This Row],[Room Booked]]*Table2[[#This Row],[Price]]</f>
        <v>115387</v>
      </c>
      <c r="R50" s="4">
        <v>83807.399999999994</v>
      </c>
    </row>
    <row r="51" spans="1:18" x14ac:dyDescent="0.3">
      <c r="A51" s="2">
        <v>2023</v>
      </c>
      <c r="B51" s="2" t="s">
        <v>44</v>
      </c>
      <c r="C51" s="2" t="s">
        <v>87</v>
      </c>
      <c r="D51" s="2" t="s">
        <v>71</v>
      </c>
      <c r="E51" s="2" t="s">
        <v>72</v>
      </c>
      <c r="F51" s="2" t="s">
        <v>83</v>
      </c>
      <c r="G51" s="2">
        <v>72</v>
      </c>
      <c r="H51" s="2" t="s">
        <v>23</v>
      </c>
      <c r="I51" s="2" t="s">
        <v>41</v>
      </c>
      <c r="J51" s="3">
        <v>45206</v>
      </c>
      <c r="K51" s="2" t="s">
        <v>65</v>
      </c>
      <c r="L51" s="2" t="s">
        <v>26</v>
      </c>
      <c r="M51" s="2">
        <v>32</v>
      </c>
      <c r="N51" s="2">
        <v>83</v>
      </c>
      <c r="O51" s="2">
        <v>1924</v>
      </c>
      <c r="P51" s="2" t="s">
        <v>35</v>
      </c>
      <c r="Q51" s="4">
        <f>Table2[[#This Row],[Room Booked]]*Table2[[#This Row],[Price]]</f>
        <v>61568</v>
      </c>
      <c r="R51" s="4">
        <v>45021.599999999999</v>
      </c>
    </row>
    <row r="52" spans="1:18" x14ac:dyDescent="0.3">
      <c r="A52" s="2">
        <v>2023</v>
      </c>
      <c r="B52" s="2" t="s">
        <v>55</v>
      </c>
      <c r="C52" s="2" t="s">
        <v>37</v>
      </c>
      <c r="D52" s="2" t="s">
        <v>38</v>
      </c>
      <c r="E52" s="2" t="s">
        <v>39</v>
      </c>
      <c r="F52" s="2" t="s">
        <v>84</v>
      </c>
      <c r="G52" s="2">
        <v>55</v>
      </c>
      <c r="H52" s="2" t="s">
        <v>33</v>
      </c>
      <c r="I52" s="2" t="s">
        <v>41</v>
      </c>
      <c r="J52" s="3">
        <v>45162</v>
      </c>
      <c r="K52" s="2" t="s">
        <v>25</v>
      </c>
      <c r="L52" s="2" t="s">
        <v>34</v>
      </c>
      <c r="M52" s="2">
        <v>34</v>
      </c>
      <c r="N52" s="2">
        <v>114</v>
      </c>
      <c r="O52" s="2">
        <v>2871</v>
      </c>
      <c r="P52" s="2" t="s">
        <v>63</v>
      </c>
      <c r="Q52" s="4">
        <f>Table2[[#This Row],[Room Booked]]*Table2[[#This Row],[Price]]</f>
        <v>97614</v>
      </c>
      <c r="R52" s="4">
        <v>71487.899999999994</v>
      </c>
    </row>
    <row r="53" spans="1:18" x14ac:dyDescent="0.3">
      <c r="A53" s="2">
        <v>2023</v>
      </c>
      <c r="B53" s="2" t="s">
        <v>95</v>
      </c>
      <c r="C53" s="2" t="s">
        <v>87</v>
      </c>
      <c r="D53" s="2" t="s">
        <v>71</v>
      </c>
      <c r="E53" s="2" t="s">
        <v>72</v>
      </c>
      <c r="F53" s="2" t="s">
        <v>85</v>
      </c>
      <c r="G53" s="2">
        <v>60</v>
      </c>
      <c r="H53" s="2" t="s">
        <v>23</v>
      </c>
      <c r="I53" s="2" t="s">
        <v>41</v>
      </c>
      <c r="J53" s="3">
        <v>44963</v>
      </c>
      <c r="K53" s="2" t="s">
        <v>49</v>
      </c>
      <c r="L53" s="2" t="s">
        <v>26</v>
      </c>
      <c r="M53" s="2">
        <v>26</v>
      </c>
      <c r="N53" s="2">
        <v>112</v>
      </c>
      <c r="O53" s="2">
        <v>119736</v>
      </c>
      <c r="P53" s="2" t="s">
        <v>27</v>
      </c>
      <c r="Q53" s="4">
        <f>Table2[[#This Row],[Room Booked]]*Table2[[#This Row],[Price]]</f>
        <v>3113136</v>
      </c>
      <c r="R53" s="4">
        <v>94292.099999999991</v>
      </c>
    </row>
    <row r="54" spans="1:18" x14ac:dyDescent="0.3">
      <c r="A54" s="2">
        <v>2022</v>
      </c>
      <c r="B54" s="2" t="s">
        <v>36</v>
      </c>
      <c r="C54" s="2" t="s">
        <v>94</v>
      </c>
      <c r="D54" s="2" t="s">
        <v>60</v>
      </c>
      <c r="E54" s="2" t="s">
        <v>61</v>
      </c>
      <c r="F54" s="2" t="s">
        <v>86</v>
      </c>
      <c r="G54" s="2">
        <v>52</v>
      </c>
      <c r="H54" s="2" t="s">
        <v>33</v>
      </c>
      <c r="I54" s="2" t="s">
        <v>41</v>
      </c>
      <c r="J54" s="3">
        <v>44738</v>
      </c>
      <c r="K54" s="2" t="s">
        <v>46</v>
      </c>
      <c r="L54" s="2" t="s">
        <v>26</v>
      </c>
      <c r="M54" s="2">
        <v>15</v>
      </c>
      <c r="N54" s="2">
        <v>106</v>
      </c>
      <c r="O54" s="2">
        <v>8278</v>
      </c>
      <c r="P54" s="2" t="s">
        <v>27</v>
      </c>
      <c r="Q54" s="4">
        <f>Table2[[#This Row],[Room Booked]]*Table2[[#This Row],[Price]]</f>
        <v>124170</v>
      </c>
      <c r="R54" s="4">
        <v>89402.4</v>
      </c>
    </row>
    <row r="55" spans="1:18" x14ac:dyDescent="0.3">
      <c r="A55" s="2">
        <v>2022</v>
      </c>
      <c r="B55" s="2" t="s">
        <v>69</v>
      </c>
      <c r="C55" s="2" t="s">
        <v>29</v>
      </c>
      <c r="D55" s="2" t="s">
        <v>30</v>
      </c>
      <c r="E55" s="2" t="s">
        <v>31</v>
      </c>
      <c r="F55" s="2" t="s">
        <v>88</v>
      </c>
      <c r="G55" s="2">
        <v>20</v>
      </c>
      <c r="H55" s="2" t="s">
        <v>33</v>
      </c>
      <c r="I55" s="2" t="s">
        <v>24</v>
      </c>
      <c r="J55" s="3">
        <v>44866</v>
      </c>
      <c r="K55" s="2" t="s">
        <v>46</v>
      </c>
      <c r="L55" s="2" t="s">
        <v>34</v>
      </c>
      <c r="M55" s="2">
        <v>19</v>
      </c>
      <c r="N55" s="2">
        <v>125</v>
      </c>
      <c r="O55" s="2">
        <v>7364</v>
      </c>
      <c r="P55" s="2" t="s">
        <v>27</v>
      </c>
      <c r="Q55" s="4">
        <f>Table2[[#This Row],[Room Booked]]*Table2[[#This Row],[Price]]</f>
        <v>139916</v>
      </c>
      <c r="R55" s="4">
        <v>46393.2</v>
      </c>
    </row>
    <row r="56" spans="1:18" x14ac:dyDescent="0.3">
      <c r="A56" s="2">
        <v>2022</v>
      </c>
      <c r="B56" s="2" t="s">
        <v>76</v>
      </c>
      <c r="C56" s="2" t="s">
        <v>87</v>
      </c>
      <c r="D56" s="2" t="s">
        <v>71</v>
      </c>
      <c r="E56" s="2" t="s">
        <v>72</v>
      </c>
      <c r="F56" s="2" t="s">
        <v>89</v>
      </c>
      <c r="G56" s="2">
        <v>27</v>
      </c>
      <c r="H56" s="2" t="s">
        <v>33</v>
      </c>
      <c r="I56" s="2" t="s">
        <v>24</v>
      </c>
      <c r="J56" s="3">
        <v>44746</v>
      </c>
      <c r="K56" s="2" t="s">
        <v>49</v>
      </c>
      <c r="L56" s="2" t="s">
        <v>26</v>
      </c>
      <c r="M56" s="2">
        <v>6</v>
      </c>
      <c r="N56" s="2">
        <v>94</v>
      </c>
      <c r="O56" s="2">
        <v>122880</v>
      </c>
      <c r="P56" s="2" t="s">
        <v>35</v>
      </c>
      <c r="Q56" s="4">
        <f>Table2[[#This Row],[Room Booked]]*Table2[[#This Row],[Price]]</f>
        <v>737280</v>
      </c>
      <c r="R56" s="4">
        <v>19968</v>
      </c>
    </row>
    <row r="57" spans="1:18" x14ac:dyDescent="0.3">
      <c r="A57" s="2">
        <v>2022</v>
      </c>
      <c r="B57" s="2" t="s">
        <v>47</v>
      </c>
      <c r="C57" s="2" t="s">
        <v>19</v>
      </c>
      <c r="D57" s="2" t="s">
        <v>20</v>
      </c>
      <c r="E57" s="2" t="s">
        <v>21</v>
      </c>
      <c r="F57" s="2" t="s">
        <v>90</v>
      </c>
      <c r="G57" s="2">
        <v>35</v>
      </c>
      <c r="H57" s="2" t="s">
        <v>33</v>
      </c>
      <c r="I57" s="2" t="s">
        <v>24</v>
      </c>
      <c r="J57" s="3">
        <v>44907</v>
      </c>
      <c r="K57" s="2" t="s">
        <v>49</v>
      </c>
      <c r="L57" s="2" t="s">
        <v>34</v>
      </c>
      <c r="M57" s="2">
        <v>16</v>
      </c>
      <c r="N57" s="2">
        <v>119</v>
      </c>
      <c r="O57" s="2">
        <v>116352</v>
      </c>
      <c r="P57" s="2" t="s">
        <v>50</v>
      </c>
      <c r="Q57" s="4">
        <f>Table2[[#This Row],[Room Booked]]*Table2[[#This Row],[Price]]</f>
        <v>1861632</v>
      </c>
      <c r="R57" s="4">
        <v>91627.199999999997</v>
      </c>
    </row>
    <row r="58" spans="1:18" x14ac:dyDescent="0.3">
      <c r="A58" s="2">
        <v>2023</v>
      </c>
      <c r="B58" s="2" t="s">
        <v>18</v>
      </c>
      <c r="C58" s="2" t="s">
        <v>87</v>
      </c>
      <c r="D58" s="2" t="s">
        <v>71</v>
      </c>
      <c r="E58" s="2" t="s">
        <v>72</v>
      </c>
      <c r="F58" s="2" t="s">
        <v>22</v>
      </c>
      <c r="G58" s="2">
        <v>44</v>
      </c>
      <c r="H58" s="2" t="s">
        <v>33</v>
      </c>
      <c r="I58" s="2" t="s">
        <v>41</v>
      </c>
      <c r="J58" s="3">
        <v>44948</v>
      </c>
      <c r="K58" s="2" t="s">
        <v>68</v>
      </c>
      <c r="L58" s="2" t="s">
        <v>43</v>
      </c>
      <c r="M58" s="2">
        <v>32</v>
      </c>
      <c r="N58" s="2">
        <v>80</v>
      </c>
      <c r="O58" s="2">
        <v>72768</v>
      </c>
      <c r="P58" s="2" t="s">
        <v>50</v>
      </c>
      <c r="Q58" s="4">
        <f>Table2[[#This Row],[Room Booked]]*Table2[[#This Row],[Price]]</f>
        <v>2328576</v>
      </c>
      <c r="R58" s="4">
        <v>166089.60000000001</v>
      </c>
    </row>
    <row r="59" spans="1:18" x14ac:dyDescent="0.3">
      <c r="A59" s="2">
        <v>2022</v>
      </c>
      <c r="B59" s="2" t="s">
        <v>47</v>
      </c>
      <c r="C59" s="2" t="s">
        <v>87</v>
      </c>
      <c r="D59" s="2" t="s">
        <v>20</v>
      </c>
      <c r="E59" s="2" t="s">
        <v>21</v>
      </c>
      <c r="F59" s="2" t="s">
        <v>32</v>
      </c>
      <c r="G59" s="2">
        <v>63</v>
      </c>
      <c r="H59" s="2" t="s">
        <v>33</v>
      </c>
      <c r="I59" s="2" t="s">
        <v>41</v>
      </c>
      <c r="J59" s="3">
        <v>44926</v>
      </c>
      <c r="K59" s="2" t="s">
        <v>49</v>
      </c>
      <c r="L59" s="2" t="s">
        <v>43</v>
      </c>
      <c r="M59" s="2">
        <v>38</v>
      </c>
      <c r="N59" s="2">
        <v>115</v>
      </c>
      <c r="O59" s="2">
        <v>132480</v>
      </c>
      <c r="P59" s="2" t="s">
        <v>27</v>
      </c>
      <c r="Q59" s="4">
        <f>Table2[[#This Row],[Room Booked]]*Table2[[#This Row],[Price]]</f>
        <v>5034240</v>
      </c>
      <c r="R59" s="4">
        <v>157320</v>
      </c>
    </row>
    <row r="60" spans="1:18" x14ac:dyDescent="0.3">
      <c r="A60" s="2">
        <v>2022</v>
      </c>
      <c r="B60" s="2" t="s">
        <v>57</v>
      </c>
      <c r="C60" s="2" t="s">
        <v>70</v>
      </c>
      <c r="D60" s="2" t="s">
        <v>20</v>
      </c>
      <c r="E60" s="2" t="s">
        <v>21</v>
      </c>
      <c r="F60" s="2" t="s">
        <v>40</v>
      </c>
      <c r="G60" s="2">
        <v>37</v>
      </c>
      <c r="H60" s="2" t="s">
        <v>33</v>
      </c>
      <c r="I60" s="2" t="s">
        <v>24</v>
      </c>
      <c r="J60" s="3">
        <v>44701</v>
      </c>
      <c r="K60" s="2" t="s">
        <v>80</v>
      </c>
      <c r="L60" s="2" t="s">
        <v>34</v>
      </c>
      <c r="M60" s="2">
        <v>38</v>
      </c>
      <c r="N60" s="2">
        <v>115</v>
      </c>
      <c r="O60" s="2">
        <v>241984</v>
      </c>
      <c r="P60" s="2" t="s">
        <v>27</v>
      </c>
      <c r="Q60" s="4">
        <f>Table2[[#This Row],[Room Booked]]*Table2[[#This Row],[Price]]</f>
        <v>9195392</v>
      </c>
      <c r="R60" s="4">
        <v>215517</v>
      </c>
    </row>
    <row r="61" spans="1:18" x14ac:dyDescent="0.3">
      <c r="A61" s="2">
        <v>2023</v>
      </c>
      <c r="B61" s="2" t="s">
        <v>57</v>
      </c>
      <c r="C61" s="2" t="s">
        <v>37</v>
      </c>
      <c r="D61" s="2" t="s">
        <v>38</v>
      </c>
      <c r="E61" s="2" t="s">
        <v>39</v>
      </c>
      <c r="F61" s="2" t="s">
        <v>45</v>
      </c>
      <c r="G61" s="2">
        <v>23</v>
      </c>
      <c r="H61" s="2" t="s">
        <v>33</v>
      </c>
      <c r="I61" s="2" t="s">
        <v>41</v>
      </c>
      <c r="J61" s="3">
        <v>45058</v>
      </c>
      <c r="K61" s="2" t="s">
        <v>42</v>
      </c>
      <c r="L61" s="2" t="s">
        <v>43</v>
      </c>
      <c r="M61" s="2">
        <v>71</v>
      </c>
      <c r="N61" s="2">
        <v>77</v>
      </c>
      <c r="O61" s="2">
        <v>29216</v>
      </c>
      <c r="P61" s="2" t="s">
        <v>27</v>
      </c>
      <c r="Q61" s="4">
        <f>Table2[[#This Row],[Room Booked]]*Table2[[#This Row],[Price]]</f>
        <v>2074336</v>
      </c>
      <c r="R61" s="4">
        <v>4382.3999999999996</v>
      </c>
    </row>
    <row r="62" spans="1:18" x14ac:dyDescent="0.3">
      <c r="A62" s="2">
        <v>2022</v>
      </c>
      <c r="B62" s="2" t="s">
        <v>51</v>
      </c>
      <c r="C62" s="2" t="s">
        <v>59</v>
      </c>
      <c r="D62" s="2" t="s">
        <v>60</v>
      </c>
      <c r="E62" s="2" t="s">
        <v>61</v>
      </c>
      <c r="F62" s="2" t="s">
        <v>48</v>
      </c>
      <c r="G62" s="2">
        <v>27</v>
      </c>
      <c r="H62" s="2" t="s">
        <v>33</v>
      </c>
      <c r="I62" s="2" t="s">
        <v>41</v>
      </c>
      <c r="J62" s="3">
        <v>44824</v>
      </c>
      <c r="K62" s="2" t="s">
        <v>68</v>
      </c>
      <c r="L62" s="2" t="s">
        <v>43</v>
      </c>
      <c r="M62" s="2">
        <v>13</v>
      </c>
      <c r="N62" s="2">
        <v>107</v>
      </c>
      <c r="O62" s="2">
        <v>119616</v>
      </c>
      <c r="P62" s="2" t="s">
        <v>50</v>
      </c>
      <c r="Q62" s="4">
        <f>Table2[[#This Row],[Room Booked]]*Table2[[#This Row],[Price]]</f>
        <v>1555008</v>
      </c>
      <c r="R62" s="4">
        <v>11587.8</v>
      </c>
    </row>
    <row r="63" spans="1:18" x14ac:dyDescent="0.3">
      <c r="A63" s="2">
        <v>2022</v>
      </c>
      <c r="B63" s="2" t="s">
        <v>36</v>
      </c>
      <c r="C63" s="2" t="s">
        <v>37</v>
      </c>
      <c r="D63" s="2" t="s">
        <v>38</v>
      </c>
      <c r="E63" s="2" t="s">
        <v>39</v>
      </c>
      <c r="F63" s="2" t="s">
        <v>52</v>
      </c>
      <c r="G63" s="2">
        <v>69</v>
      </c>
      <c r="H63" s="2" t="s">
        <v>33</v>
      </c>
      <c r="I63" s="2" t="s">
        <v>41</v>
      </c>
      <c r="J63" s="3">
        <v>44718</v>
      </c>
      <c r="K63" s="2" t="s">
        <v>80</v>
      </c>
      <c r="L63" s="2" t="s">
        <v>34</v>
      </c>
      <c r="M63" s="2">
        <v>28</v>
      </c>
      <c r="N63" s="2">
        <v>79</v>
      </c>
      <c r="O63" s="2">
        <v>31040</v>
      </c>
      <c r="P63" s="2" t="s">
        <v>27</v>
      </c>
      <c r="Q63" s="4">
        <f>Table2[[#This Row],[Room Booked]]*Table2[[#This Row],[Price]]</f>
        <v>869120</v>
      </c>
      <c r="R63" s="4">
        <v>6693</v>
      </c>
    </row>
    <row r="64" spans="1:18" x14ac:dyDescent="0.3">
      <c r="A64" s="2">
        <v>2022</v>
      </c>
      <c r="B64" s="2" t="s">
        <v>28</v>
      </c>
      <c r="C64" s="2" t="s">
        <v>87</v>
      </c>
      <c r="D64" s="2" t="s">
        <v>71</v>
      </c>
      <c r="E64" s="2" t="s">
        <v>72</v>
      </c>
      <c r="F64" s="2" t="s">
        <v>54</v>
      </c>
      <c r="G64" s="2">
        <v>29</v>
      </c>
      <c r="H64" s="2" t="s">
        <v>33</v>
      </c>
      <c r="I64" s="2" t="s">
        <v>41</v>
      </c>
      <c r="J64" s="3">
        <v>44674</v>
      </c>
      <c r="K64" s="2" t="s">
        <v>42</v>
      </c>
      <c r="L64" s="2" t="s">
        <v>43</v>
      </c>
      <c r="M64" s="2">
        <v>24</v>
      </c>
      <c r="N64" s="2">
        <v>116</v>
      </c>
      <c r="O64" s="2">
        <v>29832</v>
      </c>
      <c r="P64" s="2" t="s">
        <v>27</v>
      </c>
      <c r="Q64" s="4">
        <f>Table2[[#This Row],[Room Booked]]*Table2[[#This Row],[Price]]</f>
        <v>715968</v>
      </c>
      <c r="R64" s="4">
        <v>64884.6</v>
      </c>
    </row>
    <row r="65" spans="1:18" x14ac:dyDescent="0.3">
      <c r="A65" s="2">
        <v>2023</v>
      </c>
      <c r="B65" s="2" t="s">
        <v>55</v>
      </c>
      <c r="C65" s="2" t="s">
        <v>37</v>
      </c>
      <c r="D65" s="2" t="s">
        <v>38</v>
      </c>
      <c r="E65" s="2" t="s">
        <v>39</v>
      </c>
      <c r="F65" s="2" t="s">
        <v>56</v>
      </c>
      <c r="G65" s="2">
        <v>43</v>
      </c>
      <c r="H65" s="2" t="s">
        <v>23</v>
      </c>
      <c r="I65" s="2" t="s">
        <v>24</v>
      </c>
      <c r="J65" s="3">
        <v>45145</v>
      </c>
      <c r="K65" s="2" t="s">
        <v>65</v>
      </c>
      <c r="L65" s="2" t="s">
        <v>43</v>
      </c>
      <c r="M65" s="2">
        <v>27</v>
      </c>
      <c r="N65" s="2">
        <v>93</v>
      </c>
      <c r="O65" s="2">
        <v>7325</v>
      </c>
      <c r="P65" s="2" t="s">
        <v>50</v>
      </c>
      <c r="Q65" s="4">
        <f>Table2[[#This Row],[Room Booked]]*Table2[[#This Row],[Price]]</f>
        <v>197775</v>
      </c>
      <c r="R65" s="4">
        <v>145035</v>
      </c>
    </row>
    <row r="66" spans="1:18" x14ac:dyDescent="0.3">
      <c r="A66" s="2">
        <v>2022</v>
      </c>
      <c r="B66" s="2" t="s">
        <v>28</v>
      </c>
      <c r="C66" s="2" t="s">
        <v>87</v>
      </c>
      <c r="D66" s="2" t="s">
        <v>20</v>
      </c>
      <c r="E66" s="2" t="s">
        <v>21</v>
      </c>
      <c r="F66" s="2" t="s">
        <v>58</v>
      </c>
      <c r="G66" s="2">
        <v>40</v>
      </c>
      <c r="H66" s="2" t="s">
        <v>33</v>
      </c>
      <c r="I66" s="2" t="s">
        <v>24</v>
      </c>
      <c r="J66" s="3">
        <v>44667</v>
      </c>
      <c r="K66" s="2" t="s">
        <v>49</v>
      </c>
      <c r="L66" s="2" t="s">
        <v>26</v>
      </c>
      <c r="M66" s="2">
        <v>29</v>
      </c>
      <c r="N66" s="2">
        <v>97</v>
      </c>
      <c r="O66" s="2">
        <v>116568</v>
      </c>
      <c r="P66" s="2" t="s">
        <v>27</v>
      </c>
      <c r="Q66" s="4">
        <f>Table2[[#This Row],[Room Booked]]*Table2[[#This Row],[Price]]</f>
        <v>3380472</v>
      </c>
      <c r="R66" s="4">
        <v>104911.2</v>
      </c>
    </row>
    <row r="67" spans="1:18" x14ac:dyDescent="0.3">
      <c r="A67" s="2">
        <v>2023</v>
      </c>
      <c r="B67" s="2" t="s">
        <v>55</v>
      </c>
      <c r="C67" s="2" t="s">
        <v>91</v>
      </c>
      <c r="D67" s="2" t="s">
        <v>20</v>
      </c>
      <c r="E67" s="2" t="s">
        <v>21</v>
      </c>
      <c r="F67" s="2" t="s">
        <v>62</v>
      </c>
      <c r="G67" s="2">
        <v>33</v>
      </c>
      <c r="H67" s="2" t="s">
        <v>33</v>
      </c>
      <c r="I67" s="2" t="s">
        <v>41</v>
      </c>
      <c r="J67" s="3">
        <v>45150</v>
      </c>
      <c r="K67" s="2" t="s">
        <v>49</v>
      </c>
      <c r="L67" s="2" t="s">
        <v>26</v>
      </c>
      <c r="M67" s="2">
        <v>22</v>
      </c>
      <c r="N67" s="2">
        <v>80</v>
      </c>
      <c r="O67" s="2">
        <v>53736</v>
      </c>
      <c r="P67" s="2" t="s">
        <v>50</v>
      </c>
      <c r="Q67" s="4">
        <f>Table2[[#This Row],[Room Booked]]*Table2[[#This Row],[Price]]</f>
        <v>1182192</v>
      </c>
      <c r="R67" s="4">
        <v>36943.5</v>
      </c>
    </row>
    <row r="68" spans="1:18" x14ac:dyDescent="0.3">
      <c r="A68" s="2">
        <v>2023</v>
      </c>
      <c r="B68" s="2" t="s">
        <v>57</v>
      </c>
      <c r="C68" s="2" t="s">
        <v>19</v>
      </c>
      <c r="D68" s="2" t="s">
        <v>20</v>
      </c>
      <c r="E68" s="2" t="s">
        <v>21</v>
      </c>
      <c r="F68" s="2" t="s">
        <v>64</v>
      </c>
      <c r="G68" s="2">
        <v>31</v>
      </c>
      <c r="H68" s="2" t="s">
        <v>33</v>
      </c>
      <c r="I68" s="2" t="s">
        <v>24</v>
      </c>
      <c r="J68" s="3">
        <v>45070</v>
      </c>
      <c r="K68" s="2" t="s">
        <v>68</v>
      </c>
      <c r="L68" s="2" t="s">
        <v>43</v>
      </c>
      <c r="M68" s="2">
        <v>10</v>
      </c>
      <c r="N68" s="2">
        <v>117</v>
      </c>
      <c r="O68" s="2">
        <v>219168</v>
      </c>
      <c r="P68" s="2" t="s">
        <v>63</v>
      </c>
      <c r="Q68" s="4">
        <f>Table2[[#This Row],[Room Booked]]*Table2[[#This Row],[Price]]</f>
        <v>2191680</v>
      </c>
      <c r="R68" s="4">
        <v>17122.5</v>
      </c>
    </row>
    <row r="69" spans="1:18" x14ac:dyDescent="0.3">
      <c r="A69" s="2">
        <v>2022</v>
      </c>
      <c r="B69" s="2" t="s">
        <v>57</v>
      </c>
      <c r="C69" s="2" t="s">
        <v>87</v>
      </c>
      <c r="D69" s="2" t="s">
        <v>71</v>
      </c>
      <c r="E69" s="2" t="s">
        <v>72</v>
      </c>
      <c r="F69" s="2" t="s">
        <v>66</v>
      </c>
      <c r="G69" s="2">
        <v>61</v>
      </c>
      <c r="H69" s="2" t="s">
        <v>33</v>
      </c>
      <c r="I69" s="2" t="s">
        <v>41</v>
      </c>
      <c r="J69" s="3">
        <v>44712</v>
      </c>
      <c r="K69" s="2" t="s">
        <v>65</v>
      </c>
      <c r="L69" s="2" t="s">
        <v>34</v>
      </c>
      <c r="M69" s="2">
        <v>28</v>
      </c>
      <c r="N69" s="2">
        <v>86</v>
      </c>
      <c r="O69" s="2">
        <v>2690</v>
      </c>
      <c r="P69" s="2" t="s">
        <v>63</v>
      </c>
      <c r="Q69" s="4">
        <f>Table2[[#This Row],[Room Booked]]*Table2[[#This Row],[Price]]</f>
        <v>75320</v>
      </c>
      <c r="R69" s="4">
        <v>54876</v>
      </c>
    </row>
    <row r="70" spans="1:18" x14ac:dyDescent="0.3">
      <c r="A70" s="2">
        <v>2022</v>
      </c>
      <c r="B70" s="2" t="s">
        <v>69</v>
      </c>
      <c r="C70" s="2" t="s">
        <v>87</v>
      </c>
      <c r="D70" s="2" t="s">
        <v>71</v>
      </c>
      <c r="E70" s="2" t="s">
        <v>72</v>
      </c>
      <c r="F70" s="2" t="s">
        <v>67</v>
      </c>
      <c r="G70" s="2">
        <v>32</v>
      </c>
      <c r="H70" s="2" t="s">
        <v>33</v>
      </c>
      <c r="I70" s="2" t="s">
        <v>24</v>
      </c>
      <c r="J70" s="3">
        <v>44869</v>
      </c>
      <c r="K70" s="2" t="s">
        <v>65</v>
      </c>
      <c r="L70" s="2" t="s">
        <v>34</v>
      </c>
      <c r="M70" s="2">
        <v>1</v>
      </c>
      <c r="N70" s="2">
        <v>96</v>
      </c>
      <c r="O70" s="2">
        <v>2458</v>
      </c>
      <c r="P70" s="2" t="s">
        <v>27</v>
      </c>
      <c r="Q70" s="4">
        <f>Table2[[#This Row],[Room Booked]]*Table2[[#This Row],[Price]]</f>
        <v>2458</v>
      </c>
      <c r="R70" s="4">
        <v>1474.8</v>
      </c>
    </row>
    <row r="71" spans="1:18" x14ac:dyDescent="0.3">
      <c r="A71" s="2">
        <v>2023</v>
      </c>
      <c r="B71" s="2" t="s">
        <v>53</v>
      </c>
      <c r="C71" s="2" t="s">
        <v>94</v>
      </c>
      <c r="D71" s="2" t="s">
        <v>20</v>
      </c>
      <c r="E71" s="2" t="s">
        <v>21</v>
      </c>
      <c r="F71" s="2" t="s">
        <v>73</v>
      </c>
      <c r="G71" s="2">
        <v>72</v>
      </c>
      <c r="H71" s="2" t="s">
        <v>23</v>
      </c>
      <c r="I71" s="2" t="s">
        <v>24</v>
      </c>
      <c r="J71" s="3">
        <v>44999</v>
      </c>
      <c r="K71" s="2" t="s">
        <v>46</v>
      </c>
      <c r="L71" s="2" t="s">
        <v>34</v>
      </c>
      <c r="M71" s="2">
        <v>4</v>
      </c>
      <c r="N71" s="2">
        <v>89</v>
      </c>
      <c r="O71" s="2">
        <v>2398</v>
      </c>
      <c r="P71" s="2" t="s">
        <v>35</v>
      </c>
      <c r="Q71" s="4">
        <f>Table2[[#This Row],[Room Booked]]*Table2[[#This Row],[Price]]</f>
        <v>9592</v>
      </c>
      <c r="R71" s="4">
        <v>5755.2</v>
      </c>
    </row>
    <row r="72" spans="1:18" x14ac:dyDescent="0.3">
      <c r="A72" s="2">
        <v>2022</v>
      </c>
      <c r="B72" s="2" t="s">
        <v>36</v>
      </c>
      <c r="C72" s="2" t="s">
        <v>37</v>
      </c>
      <c r="D72" s="2" t="s">
        <v>38</v>
      </c>
      <c r="E72" s="2" t="s">
        <v>96</v>
      </c>
      <c r="F72" s="2" t="s">
        <v>74</v>
      </c>
      <c r="G72" s="2">
        <v>21</v>
      </c>
      <c r="H72" s="2" t="s">
        <v>23</v>
      </c>
      <c r="I72" s="2" t="s">
        <v>41</v>
      </c>
      <c r="J72" s="3">
        <v>44721</v>
      </c>
      <c r="K72" s="2" t="s">
        <v>42</v>
      </c>
      <c r="L72" s="2" t="s">
        <v>43</v>
      </c>
      <c r="M72" s="2">
        <v>20</v>
      </c>
      <c r="N72" s="2">
        <v>123</v>
      </c>
      <c r="O72" s="2">
        <v>26016</v>
      </c>
      <c r="P72" s="2" t="s">
        <v>27</v>
      </c>
      <c r="Q72" s="4">
        <f>Table2[[#This Row],[Room Booked]]*Table2[[#This Row],[Price]]</f>
        <v>520320</v>
      </c>
      <c r="R72" s="4">
        <v>26341.200000000001</v>
      </c>
    </row>
    <row r="73" spans="1:18" x14ac:dyDescent="0.3">
      <c r="A73" s="2">
        <v>2023</v>
      </c>
      <c r="B73" s="2" t="s">
        <v>51</v>
      </c>
      <c r="C73" s="2" t="s">
        <v>37</v>
      </c>
      <c r="D73" s="2" t="s">
        <v>38</v>
      </c>
      <c r="E73" s="2" t="s">
        <v>96</v>
      </c>
      <c r="F73" s="2" t="s">
        <v>75</v>
      </c>
      <c r="G73" s="2">
        <v>22</v>
      </c>
      <c r="H73" s="2" t="s">
        <v>33</v>
      </c>
      <c r="I73" s="2" t="s">
        <v>24</v>
      </c>
      <c r="J73" s="3">
        <v>45184</v>
      </c>
      <c r="K73" s="2" t="s">
        <v>25</v>
      </c>
      <c r="L73" s="2" t="s">
        <v>26</v>
      </c>
      <c r="M73" s="2">
        <v>22</v>
      </c>
      <c r="N73" s="2">
        <v>123</v>
      </c>
      <c r="O73" s="2">
        <v>7380</v>
      </c>
      <c r="P73" s="2" t="s">
        <v>27</v>
      </c>
      <c r="Q73" s="4">
        <f>Table2[[#This Row],[Room Booked]]*Table2[[#This Row],[Price]]</f>
        <v>162360</v>
      </c>
      <c r="R73" s="4">
        <v>121770</v>
      </c>
    </row>
    <row r="74" spans="1:18" x14ac:dyDescent="0.3">
      <c r="A74" s="2">
        <v>2023</v>
      </c>
      <c r="B74" s="2" t="s">
        <v>57</v>
      </c>
      <c r="C74" s="2" t="s">
        <v>37</v>
      </c>
      <c r="D74" s="2" t="s">
        <v>38</v>
      </c>
      <c r="E74" s="2" t="s">
        <v>96</v>
      </c>
      <c r="F74" s="2" t="s">
        <v>77</v>
      </c>
      <c r="G74" s="2">
        <v>56</v>
      </c>
      <c r="H74" s="2" t="s">
        <v>23</v>
      </c>
      <c r="I74" s="2" t="s">
        <v>24</v>
      </c>
      <c r="J74" s="3">
        <v>45062</v>
      </c>
      <c r="K74" s="2" t="s">
        <v>42</v>
      </c>
      <c r="L74" s="2" t="s">
        <v>26</v>
      </c>
      <c r="M74" s="2">
        <v>25</v>
      </c>
      <c r="N74" s="2">
        <v>109</v>
      </c>
      <c r="O74" s="2">
        <v>42008</v>
      </c>
      <c r="P74" s="2" t="s">
        <v>35</v>
      </c>
      <c r="Q74" s="4">
        <f>Table2[[#This Row],[Room Booked]]*Table2[[#This Row],[Price]]</f>
        <v>1050200</v>
      </c>
      <c r="R74" s="4">
        <v>97668.599999999991</v>
      </c>
    </row>
    <row r="75" spans="1:18" x14ac:dyDescent="0.3">
      <c r="A75" s="2">
        <v>2023</v>
      </c>
      <c r="B75" s="2" t="s">
        <v>47</v>
      </c>
      <c r="C75" s="2" t="s">
        <v>37</v>
      </c>
      <c r="D75" s="2" t="s">
        <v>38</v>
      </c>
      <c r="E75" s="2" t="s">
        <v>96</v>
      </c>
      <c r="F75" s="2" t="s">
        <v>78</v>
      </c>
      <c r="G75" s="2">
        <v>56</v>
      </c>
      <c r="H75" s="2" t="s">
        <v>23</v>
      </c>
      <c r="I75" s="2" t="s">
        <v>24</v>
      </c>
      <c r="J75" s="3">
        <v>45262</v>
      </c>
      <c r="K75" s="2" t="s">
        <v>46</v>
      </c>
      <c r="L75" s="2" t="s">
        <v>43</v>
      </c>
      <c r="M75" s="2">
        <v>38</v>
      </c>
      <c r="N75" s="2">
        <v>113</v>
      </c>
      <c r="O75" s="2">
        <v>5517</v>
      </c>
      <c r="P75" s="2" t="s">
        <v>63</v>
      </c>
      <c r="Q75" s="4">
        <f>Table2[[#This Row],[Room Booked]]*Table2[[#This Row],[Price]]</f>
        <v>209646</v>
      </c>
      <c r="R75" s="4">
        <v>122477.4</v>
      </c>
    </row>
    <row r="76" spans="1:18" x14ac:dyDescent="0.3">
      <c r="A76" s="2">
        <v>2023</v>
      </c>
      <c r="B76" s="2" t="s">
        <v>69</v>
      </c>
      <c r="C76" s="2" t="s">
        <v>37</v>
      </c>
      <c r="D76" s="2" t="s">
        <v>38</v>
      </c>
      <c r="E76" s="2" t="s">
        <v>96</v>
      </c>
      <c r="F76" s="2" t="s">
        <v>79</v>
      </c>
      <c r="G76" s="2">
        <v>52</v>
      </c>
      <c r="H76" s="2" t="s">
        <v>33</v>
      </c>
      <c r="I76" s="2" t="s">
        <v>24</v>
      </c>
      <c r="J76" s="3">
        <v>45249</v>
      </c>
      <c r="K76" s="2" t="s">
        <v>46</v>
      </c>
      <c r="L76" s="2" t="s">
        <v>26</v>
      </c>
      <c r="M76" s="2">
        <v>24</v>
      </c>
      <c r="N76" s="2">
        <v>121</v>
      </c>
      <c r="O76" s="2">
        <v>8790</v>
      </c>
      <c r="P76" s="2" t="s">
        <v>35</v>
      </c>
      <c r="Q76" s="4">
        <f>Table2[[#This Row],[Room Booked]]*Table2[[#This Row],[Price]]</f>
        <v>210960</v>
      </c>
      <c r="R76" s="4">
        <v>152946</v>
      </c>
    </row>
    <row r="77" spans="1:18" x14ac:dyDescent="0.3">
      <c r="A77" s="2">
        <v>2023</v>
      </c>
      <c r="B77" s="2" t="s">
        <v>69</v>
      </c>
      <c r="C77" s="2" t="s">
        <v>37</v>
      </c>
      <c r="D77" s="2" t="s">
        <v>38</v>
      </c>
      <c r="E77" s="2" t="s">
        <v>96</v>
      </c>
      <c r="F77" s="2" t="s">
        <v>81</v>
      </c>
      <c r="G77" s="2">
        <v>64</v>
      </c>
      <c r="H77" s="2" t="s">
        <v>23</v>
      </c>
      <c r="I77" s="2" t="s">
        <v>24</v>
      </c>
      <c r="J77" s="3">
        <v>45243</v>
      </c>
      <c r="K77" s="2" t="s">
        <v>46</v>
      </c>
      <c r="L77" s="2" t="s">
        <v>43</v>
      </c>
      <c r="M77" s="2">
        <v>27</v>
      </c>
      <c r="N77" s="2">
        <v>118</v>
      </c>
      <c r="O77" s="2">
        <v>6681</v>
      </c>
      <c r="P77" s="2" t="s">
        <v>50</v>
      </c>
      <c r="Q77" s="4">
        <f>Table2[[#This Row],[Room Booked]]*Table2[[#This Row],[Price]]</f>
        <v>180387</v>
      </c>
      <c r="R77" s="4">
        <v>132283.79999999999</v>
      </c>
    </row>
    <row r="78" spans="1:18" x14ac:dyDescent="0.3">
      <c r="A78" s="2">
        <v>2023</v>
      </c>
      <c r="B78" s="2" t="s">
        <v>47</v>
      </c>
      <c r="C78" s="2" t="s">
        <v>37</v>
      </c>
      <c r="D78" s="2" t="s">
        <v>38</v>
      </c>
      <c r="E78" s="2" t="s">
        <v>96</v>
      </c>
      <c r="F78" s="2" t="s">
        <v>82</v>
      </c>
      <c r="G78" s="2">
        <v>22</v>
      </c>
      <c r="H78" s="2" t="s">
        <v>23</v>
      </c>
      <c r="I78" s="2" t="s">
        <v>24</v>
      </c>
      <c r="J78" s="3">
        <v>45291</v>
      </c>
      <c r="K78" s="2" t="s">
        <v>42</v>
      </c>
      <c r="L78" s="2" t="s">
        <v>43</v>
      </c>
      <c r="M78" s="2">
        <v>16</v>
      </c>
      <c r="N78" s="2">
        <v>104</v>
      </c>
      <c r="O78" s="2">
        <v>33680</v>
      </c>
      <c r="P78" s="2" t="s">
        <v>35</v>
      </c>
      <c r="Q78" s="4">
        <f>Table2[[#This Row],[Room Booked]]*Table2[[#This Row],[Price]]</f>
        <v>538880</v>
      </c>
      <c r="R78" s="4">
        <v>71991</v>
      </c>
    </row>
    <row r="79" spans="1:18" x14ac:dyDescent="0.3">
      <c r="A79" s="2">
        <v>2022</v>
      </c>
      <c r="B79" s="2" t="s">
        <v>18</v>
      </c>
      <c r="C79" s="2" t="s">
        <v>37</v>
      </c>
      <c r="D79" s="2" t="s">
        <v>38</v>
      </c>
      <c r="E79" s="2" t="s">
        <v>96</v>
      </c>
      <c r="F79" s="2" t="s">
        <v>83</v>
      </c>
      <c r="G79" s="2">
        <v>49</v>
      </c>
      <c r="H79" s="2" t="s">
        <v>33</v>
      </c>
      <c r="I79" s="2" t="s">
        <v>24</v>
      </c>
      <c r="J79" s="3">
        <v>44584</v>
      </c>
      <c r="K79" s="2" t="s">
        <v>80</v>
      </c>
      <c r="L79" s="2" t="s">
        <v>43</v>
      </c>
      <c r="M79" s="2">
        <v>37</v>
      </c>
      <c r="N79" s="2">
        <v>110</v>
      </c>
      <c r="O79" s="2">
        <v>161408</v>
      </c>
      <c r="P79" s="2" t="s">
        <v>27</v>
      </c>
      <c r="Q79" s="4">
        <f>Table2[[#This Row],[Room Booked]]*Table2[[#This Row],[Price]]</f>
        <v>5972096</v>
      </c>
      <c r="R79" s="4">
        <v>43882.799999999996</v>
      </c>
    </row>
    <row r="80" spans="1:18" x14ac:dyDescent="0.3">
      <c r="A80" s="2">
        <v>2023</v>
      </c>
      <c r="B80" s="2" t="s">
        <v>53</v>
      </c>
      <c r="C80" s="2" t="s">
        <v>37</v>
      </c>
      <c r="D80" s="2" t="s">
        <v>38</v>
      </c>
      <c r="E80" s="2" t="s">
        <v>96</v>
      </c>
      <c r="F80" s="2" t="s">
        <v>84</v>
      </c>
      <c r="G80" s="2">
        <v>46</v>
      </c>
      <c r="H80" s="2" t="s">
        <v>33</v>
      </c>
      <c r="I80" s="2" t="s">
        <v>24</v>
      </c>
      <c r="J80" s="3">
        <v>44989</v>
      </c>
      <c r="K80" s="2" t="s">
        <v>49</v>
      </c>
      <c r="L80" s="2" t="s">
        <v>43</v>
      </c>
      <c r="M80" s="2">
        <v>22</v>
      </c>
      <c r="N80" s="2">
        <v>81</v>
      </c>
      <c r="O80" s="2">
        <v>114744</v>
      </c>
      <c r="P80" s="2" t="s">
        <v>27</v>
      </c>
      <c r="Q80" s="4">
        <f>Table2[[#This Row],[Room Booked]]*Table2[[#This Row],[Price]]</f>
        <v>2524368</v>
      </c>
      <c r="R80" s="4">
        <v>58806.299999999996</v>
      </c>
    </row>
    <row r="81" spans="1:18" x14ac:dyDescent="0.3">
      <c r="A81" s="2">
        <v>2023</v>
      </c>
      <c r="B81" s="2" t="s">
        <v>51</v>
      </c>
      <c r="C81" s="2" t="s">
        <v>29</v>
      </c>
      <c r="D81" s="2" t="s">
        <v>20</v>
      </c>
      <c r="E81" s="2" t="s">
        <v>97</v>
      </c>
      <c r="F81" s="2" t="s">
        <v>85</v>
      </c>
      <c r="G81" s="2">
        <v>60</v>
      </c>
      <c r="H81" s="2" t="s">
        <v>33</v>
      </c>
      <c r="I81" s="2" t="s">
        <v>24</v>
      </c>
      <c r="J81" s="3">
        <v>45171</v>
      </c>
      <c r="K81" s="2" t="s">
        <v>49</v>
      </c>
      <c r="L81" s="2" t="s">
        <v>34</v>
      </c>
      <c r="M81" s="2">
        <v>43</v>
      </c>
      <c r="N81" s="2">
        <v>104</v>
      </c>
      <c r="O81" s="2">
        <v>93888</v>
      </c>
      <c r="P81" s="2" t="s">
        <v>63</v>
      </c>
      <c r="Q81" s="4">
        <f>Table2[[#This Row],[Room Booked]]*Table2[[#This Row],[Price]]</f>
        <v>4037184</v>
      </c>
      <c r="R81" s="4">
        <v>96235.199999999997</v>
      </c>
    </row>
    <row r="82" spans="1:18" x14ac:dyDescent="0.3">
      <c r="A82" s="2">
        <v>2022</v>
      </c>
      <c r="B82" s="2" t="s">
        <v>55</v>
      </c>
      <c r="C82" s="2" t="s">
        <v>94</v>
      </c>
      <c r="D82" s="2" t="s">
        <v>20</v>
      </c>
      <c r="E82" s="2" t="s">
        <v>97</v>
      </c>
      <c r="F82" s="2" t="s">
        <v>86</v>
      </c>
      <c r="G82" s="2">
        <v>56</v>
      </c>
      <c r="H82" s="2" t="s">
        <v>33</v>
      </c>
      <c r="I82" s="2" t="s">
        <v>41</v>
      </c>
      <c r="J82" s="3">
        <v>44786</v>
      </c>
      <c r="K82" s="2" t="s">
        <v>65</v>
      </c>
      <c r="L82" s="2" t="s">
        <v>34</v>
      </c>
      <c r="M82" s="2">
        <v>20</v>
      </c>
      <c r="N82" s="2">
        <v>93</v>
      </c>
      <c r="O82" s="2">
        <v>2344</v>
      </c>
      <c r="P82" s="2" t="s">
        <v>27</v>
      </c>
      <c r="Q82" s="4">
        <f>Table2[[#This Row],[Room Booked]]*Table2[[#This Row],[Price]]</f>
        <v>46880</v>
      </c>
      <c r="R82" s="4">
        <v>44301.599999999999</v>
      </c>
    </row>
    <row r="83" spans="1:18" x14ac:dyDescent="0.3">
      <c r="A83" s="2">
        <v>2023</v>
      </c>
      <c r="B83" s="2" t="s">
        <v>55</v>
      </c>
      <c r="C83" s="2" t="s">
        <v>91</v>
      </c>
      <c r="D83" s="2" t="s">
        <v>20</v>
      </c>
      <c r="E83" s="2" t="s">
        <v>97</v>
      </c>
      <c r="F83" s="2" t="s">
        <v>88</v>
      </c>
      <c r="G83" s="2">
        <v>26</v>
      </c>
      <c r="H83" s="2" t="s">
        <v>33</v>
      </c>
      <c r="I83" s="2" t="s">
        <v>41</v>
      </c>
      <c r="J83" s="3">
        <v>45148</v>
      </c>
      <c r="K83" s="2" t="s">
        <v>25</v>
      </c>
      <c r="L83" s="2" t="s">
        <v>26</v>
      </c>
      <c r="M83" s="2">
        <v>28</v>
      </c>
      <c r="N83" s="2">
        <v>119</v>
      </c>
      <c r="O83" s="2">
        <v>7802</v>
      </c>
      <c r="P83" s="2" t="s">
        <v>27</v>
      </c>
      <c r="Q83" s="4">
        <f>Table2[[#This Row],[Room Booked]]*Table2[[#This Row],[Price]]</f>
        <v>218456</v>
      </c>
      <c r="R83" s="4">
        <v>16384.2</v>
      </c>
    </row>
    <row r="84" spans="1:18" x14ac:dyDescent="0.3">
      <c r="A84" s="2">
        <v>2023</v>
      </c>
      <c r="B84" s="2" t="s">
        <v>76</v>
      </c>
      <c r="C84" s="2" t="s">
        <v>37</v>
      </c>
      <c r="D84" s="2" t="s">
        <v>20</v>
      </c>
      <c r="E84" s="2" t="s">
        <v>97</v>
      </c>
      <c r="F84" s="2" t="s">
        <v>89</v>
      </c>
      <c r="G84" s="2">
        <v>62</v>
      </c>
      <c r="H84" s="2" t="s">
        <v>23</v>
      </c>
      <c r="I84" s="2" t="s">
        <v>24</v>
      </c>
      <c r="J84" s="3">
        <v>45125</v>
      </c>
      <c r="K84" s="2" t="s">
        <v>42</v>
      </c>
      <c r="L84" s="2" t="s">
        <v>43</v>
      </c>
      <c r="M84" s="2">
        <v>24</v>
      </c>
      <c r="N84" s="2">
        <v>104</v>
      </c>
      <c r="O84" s="2">
        <v>26616</v>
      </c>
      <c r="P84" s="2" t="s">
        <v>27</v>
      </c>
      <c r="Q84" s="4">
        <f>Table2[[#This Row],[Room Booked]]*Table2[[#This Row],[Price]]</f>
        <v>638784</v>
      </c>
      <c r="R84" s="4">
        <v>58887.9</v>
      </c>
    </row>
    <row r="85" spans="1:18" x14ac:dyDescent="0.3">
      <c r="A85" s="2">
        <v>2022</v>
      </c>
      <c r="B85" s="2" t="s">
        <v>53</v>
      </c>
      <c r="C85" s="2" t="s">
        <v>37</v>
      </c>
      <c r="D85" s="2" t="s">
        <v>20</v>
      </c>
      <c r="E85" s="2" t="s">
        <v>97</v>
      </c>
      <c r="F85" s="2" t="s">
        <v>90</v>
      </c>
      <c r="G85" s="2">
        <v>40</v>
      </c>
      <c r="H85" s="2" t="s">
        <v>33</v>
      </c>
      <c r="I85" s="2" t="s">
        <v>41</v>
      </c>
      <c r="J85" s="3">
        <v>44629</v>
      </c>
      <c r="K85" s="2" t="s">
        <v>25</v>
      </c>
      <c r="L85" s="2" t="s">
        <v>26</v>
      </c>
      <c r="M85" s="2">
        <v>32</v>
      </c>
      <c r="N85" s="2">
        <v>118</v>
      </c>
      <c r="O85" s="2">
        <v>9387</v>
      </c>
      <c r="P85" s="2" t="s">
        <v>63</v>
      </c>
      <c r="Q85" s="4">
        <f>Table2[[#This Row],[Room Booked]]*Table2[[#This Row],[Price]]</f>
        <v>300384</v>
      </c>
      <c r="R85" s="4">
        <v>67586.399999999994</v>
      </c>
    </row>
    <row r="86" spans="1:18" x14ac:dyDescent="0.3">
      <c r="A86" s="2">
        <v>2022</v>
      </c>
      <c r="B86" s="2" t="s">
        <v>47</v>
      </c>
      <c r="C86" s="2" t="s">
        <v>19</v>
      </c>
      <c r="D86" s="2" t="s">
        <v>20</v>
      </c>
      <c r="E86" s="2" t="s">
        <v>97</v>
      </c>
      <c r="F86" s="2" t="s">
        <v>22</v>
      </c>
      <c r="G86" s="2">
        <v>35</v>
      </c>
      <c r="H86" s="2" t="s">
        <v>33</v>
      </c>
      <c r="I86" s="2" t="s">
        <v>24</v>
      </c>
      <c r="J86" s="3">
        <v>44907</v>
      </c>
      <c r="K86" s="2" t="s">
        <v>49</v>
      </c>
      <c r="L86" s="2" t="s">
        <v>34</v>
      </c>
      <c r="M86" s="2">
        <v>26</v>
      </c>
      <c r="N86" s="2">
        <v>119</v>
      </c>
      <c r="O86" s="2">
        <v>116352</v>
      </c>
      <c r="P86" s="2" t="s">
        <v>50</v>
      </c>
      <c r="Q86" s="4">
        <f>Table2[[#This Row],[Room Booked]]*Table2[[#This Row],[Price]]</f>
        <v>3025152</v>
      </c>
      <c r="R86" s="4">
        <v>91627.199999999997</v>
      </c>
    </row>
    <row r="87" spans="1:18" x14ac:dyDescent="0.3">
      <c r="A87" s="2">
        <v>2022</v>
      </c>
      <c r="B87" s="2" t="s">
        <v>47</v>
      </c>
      <c r="C87" s="2" t="s">
        <v>87</v>
      </c>
      <c r="D87" s="2" t="s">
        <v>20</v>
      </c>
      <c r="E87" s="2" t="s">
        <v>97</v>
      </c>
      <c r="F87" s="2" t="s">
        <v>32</v>
      </c>
      <c r="G87" s="2">
        <v>63</v>
      </c>
      <c r="H87" s="2" t="s">
        <v>33</v>
      </c>
      <c r="I87" s="2" t="s">
        <v>24</v>
      </c>
      <c r="J87" s="3">
        <v>44926</v>
      </c>
      <c r="K87" s="2" t="s">
        <v>49</v>
      </c>
      <c r="L87" s="2" t="s">
        <v>43</v>
      </c>
      <c r="M87" s="2">
        <v>38</v>
      </c>
      <c r="N87" s="2">
        <v>115</v>
      </c>
      <c r="O87" s="2">
        <v>132480</v>
      </c>
      <c r="P87" s="2" t="s">
        <v>27</v>
      </c>
      <c r="Q87" s="4">
        <f>Table2[[#This Row],[Room Booked]]*Table2[[#This Row],[Price]]</f>
        <v>5034240</v>
      </c>
      <c r="R87" s="4">
        <v>157320</v>
      </c>
    </row>
    <row r="88" spans="1:18" x14ac:dyDescent="0.3">
      <c r="A88" s="2">
        <v>2022</v>
      </c>
      <c r="B88" s="2" t="s">
        <v>57</v>
      </c>
      <c r="C88" s="2" t="s">
        <v>70</v>
      </c>
      <c r="D88" s="2" t="s">
        <v>20</v>
      </c>
      <c r="E88" s="2" t="s">
        <v>97</v>
      </c>
      <c r="F88" s="2" t="s">
        <v>40</v>
      </c>
      <c r="G88" s="2">
        <v>37</v>
      </c>
      <c r="H88" s="2" t="s">
        <v>33</v>
      </c>
      <c r="I88" s="2" t="s">
        <v>24</v>
      </c>
      <c r="J88" s="3">
        <v>44701</v>
      </c>
      <c r="K88" s="2" t="s">
        <v>80</v>
      </c>
      <c r="L88" s="2" t="s">
        <v>34</v>
      </c>
      <c r="M88" s="2">
        <v>38</v>
      </c>
      <c r="N88" s="2">
        <v>115</v>
      </c>
      <c r="O88" s="2">
        <v>241984</v>
      </c>
      <c r="P88" s="2" t="s">
        <v>27</v>
      </c>
      <c r="Q88" s="4">
        <f>Table2[[#This Row],[Room Booked]]*Table2[[#This Row],[Price]]</f>
        <v>9195392</v>
      </c>
      <c r="R88" s="4">
        <v>215517</v>
      </c>
    </row>
    <row r="89" spans="1:18" x14ac:dyDescent="0.3">
      <c r="A89" s="2">
        <v>2022</v>
      </c>
      <c r="B89" s="2" t="s">
        <v>28</v>
      </c>
      <c r="C89" s="2" t="s">
        <v>87</v>
      </c>
      <c r="D89" s="2" t="s">
        <v>20</v>
      </c>
      <c r="E89" s="2" t="s">
        <v>97</v>
      </c>
      <c r="F89" s="2" t="s">
        <v>45</v>
      </c>
      <c r="G89" s="2">
        <v>40</v>
      </c>
      <c r="H89" s="2" t="s">
        <v>33</v>
      </c>
      <c r="I89" s="2" t="s">
        <v>24</v>
      </c>
      <c r="J89" s="3">
        <v>44667</v>
      </c>
      <c r="K89" s="2" t="s">
        <v>49</v>
      </c>
      <c r="L89" s="2" t="s">
        <v>26</v>
      </c>
      <c r="M89" s="2">
        <v>29</v>
      </c>
      <c r="N89" s="2">
        <v>97</v>
      </c>
      <c r="O89" s="2">
        <v>116568</v>
      </c>
      <c r="P89" s="2" t="s">
        <v>27</v>
      </c>
      <c r="Q89" s="4">
        <f>Table2[[#This Row],[Room Booked]]*Table2[[#This Row],[Price]]</f>
        <v>3380472</v>
      </c>
      <c r="R89" s="4">
        <v>104911.2</v>
      </c>
    </row>
    <row r="90" spans="1:18" x14ac:dyDescent="0.3">
      <c r="A90" s="2">
        <v>2023</v>
      </c>
      <c r="B90" s="2" t="s">
        <v>55</v>
      </c>
      <c r="C90" s="2" t="s">
        <v>91</v>
      </c>
      <c r="D90" s="2" t="s">
        <v>20</v>
      </c>
      <c r="E90" s="2" t="s">
        <v>97</v>
      </c>
      <c r="F90" s="2" t="s">
        <v>48</v>
      </c>
      <c r="G90" s="2">
        <v>33</v>
      </c>
      <c r="H90" s="2" t="s">
        <v>33</v>
      </c>
      <c r="I90" s="2" t="s">
        <v>41</v>
      </c>
      <c r="J90" s="3">
        <v>45150</v>
      </c>
      <c r="K90" s="2" t="s">
        <v>49</v>
      </c>
      <c r="L90" s="2" t="s">
        <v>26</v>
      </c>
      <c r="M90" s="2">
        <v>22</v>
      </c>
      <c r="N90" s="2">
        <v>80</v>
      </c>
      <c r="O90" s="2">
        <v>53736</v>
      </c>
      <c r="P90" s="2" t="s">
        <v>50</v>
      </c>
      <c r="Q90" s="4">
        <f>Table2[[#This Row],[Room Booked]]*Table2[[#This Row],[Price]]</f>
        <v>1182192</v>
      </c>
      <c r="R90" s="4">
        <v>36943.5</v>
      </c>
    </row>
    <row r="91" spans="1:18" x14ac:dyDescent="0.3">
      <c r="A91" s="2">
        <v>2023</v>
      </c>
      <c r="B91" s="2" t="s">
        <v>57</v>
      </c>
      <c r="C91" s="2" t="s">
        <v>19</v>
      </c>
      <c r="D91" s="2" t="s">
        <v>20</v>
      </c>
      <c r="E91" s="2" t="s">
        <v>97</v>
      </c>
      <c r="F91" s="2" t="s">
        <v>52</v>
      </c>
      <c r="G91" s="2">
        <v>31</v>
      </c>
      <c r="H91" s="2" t="s">
        <v>33</v>
      </c>
      <c r="I91" s="2" t="s">
        <v>41</v>
      </c>
      <c r="J91" s="3">
        <v>45070</v>
      </c>
      <c r="K91" s="2" t="s">
        <v>68</v>
      </c>
      <c r="L91" s="2" t="s">
        <v>43</v>
      </c>
      <c r="M91" s="2">
        <v>10</v>
      </c>
      <c r="N91" s="2">
        <v>117</v>
      </c>
      <c r="O91" s="2">
        <v>219168</v>
      </c>
      <c r="P91" s="2" t="s">
        <v>63</v>
      </c>
      <c r="Q91" s="4">
        <f>Table2[[#This Row],[Room Booked]]*Table2[[#This Row],[Price]]</f>
        <v>2191680</v>
      </c>
      <c r="R91" s="4">
        <v>17122.5</v>
      </c>
    </row>
    <row r="92" spans="1:18" x14ac:dyDescent="0.3">
      <c r="A92" s="2">
        <v>2023</v>
      </c>
      <c r="B92" s="2" t="s">
        <v>53</v>
      </c>
      <c r="C92" s="2" t="s">
        <v>94</v>
      </c>
      <c r="D92" s="2" t="s">
        <v>20</v>
      </c>
      <c r="E92" s="2" t="s">
        <v>97</v>
      </c>
      <c r="F92" s="2" t="s">
        <v>54</v>
      </c>
      <c r="G92" s="2">
        <v>72</v>
      </c>
      <c r="H92" s="2" t="s">
        <v>23</v>
      </c>
      <c r="I92" s="2" t="s">
        <v>24</v>
      </c>
      <c r="J92" s="3">
        <v>44999</v>
      </c>
      <c r="K92" s="2" t="s">
        <v>46</v>
      </c>
      <c r="L92" s="2" t="s">
        <v>34</v>
      </c>
      <c r="M92" s="2">
        <v>4</v>
      </c>
      <c r="N92" s="2">
        <v>89</v>
      </c>
      <c r="O92" s="2">
        <v>2398</v>
      </c>
      <c r="P92" s="2" t="s">
        <v>35</v>
      </c>
      <c r="Q92" s="4">
        <f>Table2[[#This Row],[Room Booked]]*Table2[[#This Row],[Price]]</f>
        <v>9592</v>
      </c>
      <c r="R92" s="4">
        <v>5755.2</v>
      </c>
    </row>
    <row r="93" spans="1:18" x14ac:dyDescent="0.3">
      <c r="A93" s="2">
        <v>2022</v>
      </c>
      <c r="B93" s="2" t="s">
        <v>53</v>
      </c>
      <c r="C93" s="2" t="s">
        <v>19</v>
      </c>
      <c r="D93" s="2" t="s">
        <v>92</v>
      </c>
      <c r="E93" s="2" t="s">
        <v>98</v>
      </c>
      <c r="F93" s="2" t="s">
        <v>56</v>
      </c>
      <c r="G93" s="2">
        <v>64</v>
      </c>
      <c r="H93" s="2" t="s">
        <v>23</v>
      </c>
      <c r="I93" s="2" t="s">
        <v>24</v>
      </c>
      <c r="J93" s="3">
        <v>44646</v>
      </c>
      <c r="K93" s="2" t="s">
        <v>25</v>
      </c>
      <c r="L93" s="2" t="s">
        <v>34</v>
      </c>
      <c r="M93" s="2">
        <v>26</v>
      </c>
      <c r="N93" s="2">
        <v>114</v>
      </c>
      <c r="O93" s="2">
        <v>3976</v>
      </c>
      <c r="P93" s="2" t="s">
        <v>50</v>
      </c>
      <c r="Q93" s="4">
        <f>Table2[[#This Row],[Room Booked]]*Table2[[#This Row],[Price]]</f>
        <v>103376</v>
      </c>
      <c r="R93" s="4">
        <v>75146.399999999994</v>
      </c>
    </row>
    <row r="94" spans="1:18" x14ac:dyDescent="0.3">
      <c r="A94" s="2">
        <v>2022</v>
      </c>
      <c r="B94" s="2" t="s">
        <v>55</v>
      </c>
      <c r="C94" s="2" t="s">
        <v>29</v>
      </c>
      <c r="D94" s="2" t="s">
        <v>92</v>
      </c>
      <c r="E94" s="2" t="s">
        <v>98</v>
      </c>
      <c r="F94" s="2" t="s">
        <v>58</v>
      </c>
      <c r="G94" s="2">
        <v>22</v>
      </c>
      <c r="H94" s="2" t="s">
        <v>33</v>
      </c>
      <c r="I94" s="2" t="s">
        <v>41</v>
      </c>
      <c r="J94" s="3">
        <v>44782</v>
      </c>
      <c r="K94" s="2" t="s">
        <v>42</v>
      </c>
      <c r="L94" s="2" t="s">
        <v>26</v>
      </c>
      <c r="M94" s="2">
        <v>38</v>
      </c>
      <c r="N94" s="2">
        <v>105</v>
      </c>
      <c r="O94" s="2">
        <v>35248</v>
      </c>
      <c r="P94" s="2" t="s">
        <v>35</v>
      </c>
      <c r="Q94" s="4">
        <f>Table2[[#This Row],[Room Booked]]*Table2[[#This Row],[Price]]</f>
        <v>1339424</v>
      </c>
      <c r="R94" s="4">
        <v>91204.2</v>
      </c>
    </row>
    <row r="95" spans="1:18" x14ac:dyDescent="0.3">
      <c r="A95" s="2">
        <v>2023</v>
      </c>
      <c r="B95" s="2" t="s">
        <v>57</v>
      </c>
      <c r="C95" s="2" t="s">
        <v>37</v>
      </c>
      <c r="D95" s="2" t="s">
        <v>92</v>
      </c>
      <c r="E95" s="2" t="s">
        <v>98</v>
      </c>
      <c r="F95" s="2" t="s">
        <v>62</v>
      </c>
      <c r="G95" s="2">
        <v>49</v>
      </c>
      <c r="H95" s="2" t="s">
        <v>23</v>
      </c>
      <c r="I95" s="2" t="s">
        <v>24</v>
      </c>
      <c r="J95" s="3">
        <v>45062</v>
      </c>
      <c r="K95" s="2" t="s">
        <v>42</v>
      </c>
      <c r="L95" s="2" t="s">
        <v>26</v>
      </c>
      <c r="M95" s="2">
        <v>25</v>
      </c>
      <c r="N95" s="2">
        <v>109</v>
      </c>
      <c r="O95" s="2">
        <v>42008</v>
      </c>
      <c r="P95" s="2" t="s">
        <v>35</v>
      </c>
      <c r="Q95" s="4">
        <f>Table2[[#This Row],[Room Booked]]*Table2[[#This Row],[Price]]</f>
        <v>1050200</v>
      </c>
      <c r="R95" s="4">
        <v>97668.599999999991</v>
      </c>
    </row>
    <row r="96" spans="1:18" x14ac:dyDescent="0.3">
      <c r="A96" s="2">
        <v>2022</v>
      </c>
      <c r="B96" s="2" t="s">
        <v>18</v>
      </c>
      <c r="C96" s="2" t="s">
        <v>59</v>
      </c>
      <c r="D96" s="2" t="s">
        <v>92</v>
      </c>
      <c r="E96" s="2" t="s">
        <v>98</v>
      </c>
      <c r="F96" s="2" t="s">
        <v>64</v>
      </c>
      <c r="G96" s="2">
        <v>46</v>
      </c>
      <c r="H96" s="2" t="s">
        <v>23</v>
      </c>
      <c r="I96" s="2" t="s">
        <v>24</v>
      </c>
      <c r="J96" s="3">
        <v>44576</v>
      </c>
      <c r="K96" s="2" t="s">
        <v>49</v>
      </c>
      <c r="L96" s="2" t="s">
        <v>34</v>
      </c>
      <c r="M96" s="2">
        <v>16</v>
      </c>
      <c r="N96" s="2">
        <v>99</v>
      </c>
      <c r="O96" s="2">
        <v>220104</v>
      </c>
      <c r="P96" s="2" t="s">
        <v>63</v>
      </c>
      <c r="Q96" s="4">
        <f>Table2[[#This Row],[Room Booked]]*Table2[[#This Row],[Price]]</f>
        <v>3521664</v>
      </c>
      <c r="R96" s="4">
        <v>104549.4</v>
      </c>
    </row>
    <row r="97" spans="1:18" x14ac:dyDescent="0.3">
      <c r="A97" s="2">
        <v>2022</v>
      </c>
      <c r="B97" s="2" t="s">
        <v>44</v>
      </c>
      <c r="C97" s="2" t="s">
        <v>19</v>
      </c>
      <c r="D97" s="2" t="s">
        <v>92</v>
      </c>
      <c r="E97" s="2" t="s">
        <v>98</v>
      </c>
      <c r="F97" s="2" t="s">
        <v>66</v>
      </c>
      <c r="G97" s="2">
        <v>38</v>
      </c>
      <c r="H97" s="2" t="s">
        <v>23</v>
      </c>
      <c r="I97" s="2" t="s">
        <v>24</v>
      </c>
      <c r="J97" s="3">
        <v>44850</v>
      </c>
      <c r="K97" s="2" t="s">
        <v>65</v>
      </c>
      <c r="L97" s="2" t="s">
        <v>34</v>
      </c>
      <c r="M97" s="2">
        <v>38</v>
      </c>
      <c r="N97" s="2">
        <v>115</v>
      </c>
      <c r="O97" s="2">
        <v>9707</v>
      </c>
      <c r="P97" s="2" t="s">
        <v>63</v>
      </c>
      <c r="Q97" s="4">
        <f>Table2[[#This Row],[Room Booked]]*Table2[[#This Row],[Price]]</f>
        <v>368866</v>
      </c>
      <c r="R97" s="4">
        <v>270825.3</v>
      </c>
    </row>
    <row r="98" spans="1:18" x14ac:dyDescent="0.3">
      <c r="A98" s="2">
        <v>2023</v>
      </c>
      <c r="B98" s="2" t="s">
        <v>51</v>
      </c>
      <c r="C98" s="2" t="s">
        <v>19</v>
      </c>
      <c r="D98" s="2" t="s">
        <v>92</v>
      </c>
      <c r="E98" s="2" t="s">
        <v>98</v>
      </c>
      <c r="F98" s="2" t="s">
        <v>67</v>
      </c>
      <c r="G98" s="2">
        <v>45</v>
      </c>
      <c r="H98" s="2" t="s">
        <v>23</v>
      </c>
      <c r="I98" s="2" t="s">
        <v>24</v>
      </c>
      <c r="J98" s="3">
        <v>45182</v>
      </c>
      <c r="K98" s="2" t="s">
        <v>25</v>
      </c>
      <c r="L98" s="2" t="s">
        <v>34</v>
      </c>
      <c r="M98" s="2">
        <v>24</v>
      </c>
      <c r="N98" s="2">
        <v>80</v>
      </c>
      <c r="O98" s="2">
        <v>340</v>
      </c>
      <c r="P98" s="2" t="s">
        <v>27</v>
      </c>
      <c r="Q98" s="4">
        <f>Table2[[#This Row],[Room Booked]]*Table2[[#This Row],[Price]]</f>
        <v>8160</v>
      </c>
      <c r="R98" s="4">
        <v>6018</v>
      </c>
    </row>
    <row r="99" spans="1:18" x14ac:dyDescent="0.3">
      <c r="A99" s="2">
        <v>2023</v>
      </c>
      <c r="B99" s="2" t="s">
        <v>36</v>
      </c>
      <c r="C99" s="2" t="s">
        <v>29</v>
      </c>
      <c r="D99" s="2" t="s">
        <v>92</v>
      </c>
      <c r="E99" s="2" t="s">
        <v>98</v>
      </c>
      <c r="F99" s="2" t="s">
        <v>73</v>
      </c>
      <c r="G99" s="2">
        <v>35</v>
      </c>
      <c r="H99" s="2" t="s">
        <v>33</v>
      </c>
      <c r="I99" s="2" t="s">
        <v>41</v>
      </c>
      <c r="J99" s="3">
        <v>45095</v>
      </c>
      <c r="K99" s="2" t="s">
        <v>68</v>
      </c>
      <c r="L99" s="2" t="s">
        <v>26</v>
      </c>
      <c r="M99" s="2">
        <v>27</v>
      </c>
      <c r="N99" s="2">
        <v>109</v>
      </c>
      <c r="O99" s="2">
        <v>76704</v>
      </c>
      <c r="P99" s="2" t="s">
        <v>50</v>
      </c>
      <c r="Q99" s="4">
        <f>Table2[[#This Row],[Room Booked]]*Table2[[#This Row],[Price]]</f>
        <v>2071008</v>
      </c>
      <c r="R99" s="4">
        <v>86702.7</v>
      </c>
    </row>
    <row r="100" spans="1:18" x14ac:dyDescent="0.3">
      <c r="A100" s="2">
        <v>2022</v>
      </c>
      <c r="B100" s="2" t="s">
        <v>69</v>
      </c>
      <c r="C100" s="2" t="s">
        <v>70</v>
      </c>
      <c r="D100" s="2" t="s">
        <v>92</v>
      </c>
      <c r="E100" s="2" t="s">
        <v>98</v>
      </c>
      <c r="F100" s="2" t="s">
        <v>74</v>
      </c>
      <c r="G100" s="2">
        <v>56</v>
      </c>
      <c r="H100" s="2" t="s">
        <v>23</v>
      </c>
      <c r="I100" s="2" t="s">
        <v>41</v>
      </c>
      <c r="J100" s="3">
        <v>44892</v>
      </c>
      <c r="K100" s="2" t="s">
        <v>49</v>
      </c>
      <c r="L100" s="2" t="s">
        <v>43</v>
      </c>
      <c r="M100" s="2">
        <v>34</v>
      </c>
      <c r="N100" s="2">
        <v>96</v>
      </c>
      <c r="O100" s="2">
        <v>17304</v>
      </c>
      <c r="P100" s="2" t="s">
        <v>27</v>
      </c>
      <c r="Q100" s="4">
        <f>Table2[[#This Row],[Room Booked]]*Table2[[#This Row],[Price]]</f>
        <v>588336</v>
      </c>
      <c r="R100" s="4">
        <v>17952.899999999998</v>
      </c>
    </row>
    <row r="101" spans="1:18" x14ac:dyDescent="0.3">
      <c r="A101" s="2">
        <v>2023</v>
      </c>
      <c r="B101" s="2" t="s">
        <v>44</v>
      </c>
      <c r="C101" s="2" t="s">
        <v>19</v>
      </c>
      <c r="D101" s="2" t="s">
        <v>92</v>
      </c>
      <c r="E101" s="2" t="s">
        <v>98</v>
      </c>
      <c r="F101" s="2" t="s">
        <v>75</v>
      </c>
      <c r="G101" s="2">
        <v>56</v>
      </c>
      <c r="H101" s="2" t="s">
        <v>23</v>
      </c>
      <c r="I101" s="2" t="s">
        <v>24</v>
      </c>
      <c r="J101" s="3">
        <v>45202</v>
      </c>
      <c r="K101" s="2" t="s">
        <v>49</v>
      </c>
      <c r="L101" s="2" t="s">
        <v>26</v>
      </c>
      <c r="M101" s="2">
        <v>14</v>
      </c>
      <c r="N101" s="2">
        <v>105</v>
      </c>
      <c r="O101" s="2">
        <v>155856</v>
      </c>
      <c r="P101" s="2" t="s">
        <v>27</v>
      </c>
      <c r="Q101" s="4">
        <f>Table2[[#This Row],[Room Booked]]*Table2[[#This Row],[Price]]</f>
        <v>2181984</v>
      </c>
      <c r="R101" s="4">
        <v>64290.6</v>
      </c>
    </row>
    <row r="102" spans="1:18" x14ac:dyDescent="0.3">
      <c r="A102" s="2">
        <v>2022</v>
      </c>
      <c r="B102" s="2" t="s">
        <v>44</v>
      </c>
      <c r="C102" s="2" t="s">
        <v>19</v>
      </c>
      <c r="D102" s="2" t="s">
        <v>92</v>
      </c>
      <c r="E102" s="2" t="s">
        <v>98</v>
      </c>
      <c r="F102" s="2" t="s">
        <v>77</v>
      </c>
      <c r="G102" s="2">
        <v>55</v>
      </c>
      <c r="H102" s="2" t="s">
        <v>23</v>
      </c>
      <c r="I102" s="2" t="s">
        <v>24</v>
      </c>
      <c r="J102" s="3">
        <v>44860</v>
      </c>
      <c r="K102" s="2" t="s">
        <v>65</v>
      </c>
      <c r="L102" s="2" t="s">
        <v>34</v>
      </c>
      <c r="M102" s="2">
        <v>21</v>
      </c>
      <c r="N102" s="2">
        <v>92</v>
      </c>
      <c r="O102" s="2">
        <v>1945</v>
      </c>
      <c r="P102" s="2" t="s">
        <v>50</v>
      </c>
      <c r="Q102" s="4">
        <f>Table2[[#This Row],[Room Booked]]*Table2[[#This Row],[Price]]</f>
        <v>40845</v>
      </c>
      <c r="R102" s="4">
        <v>19255.5</v>
      </c>
    </row>
    <row r="103" spans="1:18" x14ac:dyDescent="0.3">
      <c r="A103" s="2">
        <v>2023</v>
      </c>
      <c r="B103" s="2" t="s">
        <v>76</v>
      </c>
      <c r="C103" s="2" t="s">
        <v>70</v>
      </c>
      <c r="D103" s="2" t="s">
        <v>92</v>
      </c>
      <c r="E103" s="2" t="s">
        <v>98</v>
      </c>
      <c r="F103" s="2" t="s">
        <v>78</v>
      </c>
      <c r="G103" s="2">
        <v>19</v>
      </c>
      <c r="H103" s="2" t="s">
        <v>23</v>
      </c>
      <c r="I103" s="2" t="s">
        <v>41</v>
      </c>
      <c r="J103" s="3">
        <v>45138</v>
      </c>
      <c r="K103" s="2" t="s">
        <v>42</v>
      </c>
      <c r="L103" s="2" t="s">
        <v>43</v>
      </c>
      <c r="M103" s="2">
        <v>16</v>
      </c>
      <c r="N103" s="2">
        <v>110</v>
      </c>
      <c r="O103" s="2">
        <v>75528</v>
      </c>
      <c r="P103" s="2" t="s">
        <v>63</v>
      </c>
      <c r="Q103" s="4">
        <f>Table2[[#This Row],[Room Booked]]*Table2[[#This Row],[Price]]</f>
        <v>1208448</v>
      </c>
      <c r="R103" s="4">
        <v>107627.4</v>
      </c>
    </row>
    <row r="104" spans="1:18" x14ac:dyDescent="0.3">
      <c r="A104" s="2">
        <v>2022</v>
      </c>
      <c r="B104" s="2" t="s">
        <v>51</v>
      </c>
      <c r="C104" s="2" t="s">
        <v>59</v>
      </c>
      <c r="D104" s="2" t="s">
        <v>92</v>
      </c>
      <c r="E104" s="2" t="s">
        <v>98</v>
      </c>
      <c r="F104" s="2" t="s">
        <v>79</v>
      </c>
      <c r="G104" s="2">
        <v>58</v>
      </c>
      <c r="H104" s="2" t="s">
        <v>23</v>
      </c>
      <c r="I104" s="2" t="s">
        <v>24</v>
      </c>
      <c r="J104" s="3">
        <v>44811</v>
      </c>
      <c r="K104" s="2" t="s">
        <v>65</v>
      </c>
      <c r="L104" s="2" t="s">
        <v>34</v>
      </c>
      <c r="M104" s="2">
        <v>4</v>
      </c>
      <c r="N104" s="2">
        <v>119</v>
      </c>
      <c r="O104" s="2">
        <v>1683</v>
      </c>
      <c r="P104" s="2" t="s">
        <v>63</v>
      </c>
      <c r="Q104" s="4">
        <f>Table2[[#This Row],[Room Booked]]*Table2[[#This Row],[Price]]</f>
        <v>6732</v>
      </c>
      <c r="R104" s="4">
        <v>19691.099999999999</v>
      </c>
    </row>
    <row r="105" spans="1:18" x14ac:dyDescent="0.3">
      <c r="A105" s="2">
        <v>2022</v>
      </c>
      <c r="B105" s="2" t="s">
        <v>18</v>
      </c>
      <c r="C105" s="2" t="s">
        <v>59</v>
      </c>
      <c r="D105" s="2" t="s">
        <v>60</v>
      </c>
      <c r="E105" s="2" t="s">
        <v>99</v>
      </c>
      <c r="F105" s="2" t="s">
        <v>81</v>
      </c>
      <c r="G105" s="2">
        <v>46</v>
      </c>
      <c r="H105" s="2" t="s">
        <v>23</v>
      </c>
      <c r="I105" s="2" t="s">
        <v>41</v>
      </c>
      <c r="J105" s="3">
        <v>44576</v>
      </c>
      <c r="K105" s="2" t="s">
        <v>49</v>
      </c>
      <c r="L105" s="2" t="s">
        <v>34</v>
      </c>
      <c r="M105" s="2">
        <v>8</v>
      </c>
      <c r="N105" s="2">
        <v>99</v>
      </c>
      <c r="O105" s="2">
        <v>220104</v>
      </c>
      <c r="P105" s="2" t="s">
        <v>63</v>
      </c>
      <c r="Q105" s="4">
        <f>Table2[[#This Row],[Room Booked]]*Table2[[#This Row],[Price]]</f>
        <v>1760832</v>
      </c>
      <c r="R105" s="4">
        <v>104549.4</v>
      </c>
    </row>
    <row r="106" spans="1:18" x14ac:dyDescent="0.3">
      <c r="A106" s="2">
        <v>2022</v>
      </c>
      <c r="B106" s="2" t="s">
        <v>51</v>
      </c>
      <c r="C106" s="2" t="s">
        <v>59</v>
      </c>
      <c r="D106" s="2" t="s">
        <v>60</v>
      </c>
      <c r="E106" s="2" t="s">
        <v>99</v>
      </c>
      <c r="F106" s="2" t="s">
        <v>82</v>
      </c>
      <c r="G106" s="2">
        <v>58</v>
      </c>
      <c r="H106" s="2" t="s">
        <v>23</v>
      </c>
      <c r="I106" s="2" t="s">
        <v>41</v>
      </c>
      <c r="J106" s="3">
        <v>44811</v>
      </c>
      <c r="K106" s="2" t="s">
        <v>65</v>
      </c>
      <c r="L106" s="2" t="s">
        <v>34</v>
      </c>
      <c r="M106" s="2">
        <v>8</v>
      </c>
      <c r="N106" s="2">
        <v>119</v>
      </c>
      <c r="O106" s="2">
        <v>1683</v>
      </c>
      <c r="P106" s="2" t="s">
        <v>63</v>
      </c>
      <c r="Q106" s="4">
        <f>Table2[[#This Row],[Room Booked]]*Table2[[#This Row],[Price]]</f>
        <v>13464</v>
      </c>
      <c r="R106" s="4">
        <v>19691.099999999999</v>
      </c>
    </row>
    <row r="107" spans="1:18" x14ac:dyDescent="0.3">
      <c r="A107" s="2">
        <v>2022</v>
      </c>
      <c r="B107" s="2" t="s">
        <v>55</v>
      </c>
      <c r="C107" s="2" t="s">
        <v>94</v>
      </c>
      <c r="D107" s="2" t="s">
        <v>60</v>
      </c>
      <c r="E107" s="2" t="s">
        <v>99</v>
      </c>
      <c r="F107" s="2" t="s">
        <v>83</v>
      </c>
      <c r="G107" s="2">
        <v>54</v>
      </c>
      <c r="H107" s="2" t="s">
        <v>23</v>
      </c>
      <c r="I107" s="2" t="s">
        <v>41</v>
      </c>
      <c r="J107" s="3">
        <v>44776</v>
      </c>
      <c r="K107" s="2" t="s">
        <v>68</v>
      </c>
      <c r="L107" s="2" t="s">
        <v>43</v>
      </c>
      <c r="M107" s="2">
        <v>28</v>
      </c>
      <c r="N107" s="2">
        <v>123</v>
      </c>
      <c r="O107" s="2">
        <v>52768</v>
      </c>
      <c r="P107" s="2" t="s">
        <v>63</v>
      </c>
      <c r="Q107" s="4">
        <f>Table2[[#This Row],[Room Booked]]*Table2[[#This Row],[Price]]</f>
        <v>1477504</v>
      </c>
      <c r="R107" s="4">
        <v>117463.2</v>
      </c>
    </row>
    <row r="108" spans="1:18" x14ac:dyDescent="0.3">
      <c r="A108" s="2">
        <v>2023</v>
      </c>
      <c r="B108" s="2" t="s">
        <v>36</v>
      </c>
      <c r="C108" s="2" t="s">
        <v>94</v>
      </c>
      <c r="D108" s="2" t="s">
        <v>60</v>
      </c>
      <c r="E108" s="2" t="s">
        <v>99</v>
      </c>
      <c r="F108" s="2" t="s">
        <v>84</v>
      </c>
      <c r="G108" s="2">
        <v>68</v>
      </c>
      <c r="H108" s="2" t="s">
        <v>33</v>
      </c>
      <c r="I108" s="2" t="s">
        <v>24</v>
      </c>
      <c r="J108" s="3">
        <v>45099</v>
      </c>
      <c r="K108" s="2" t="s">
        <v>68</v>
      </c>
      <c r="L108" s="2" t="s">
        <v>26</v>
      </c>
      <c r="M108" s="2">
        <v>28</v>
      </c>
      <c r="N108" s="2">
        <v>99</v>
      </c>
      <c r="O108" s="2">
        <v>23616</v>
      </c>
      <c r="P108" s="2" t="s">
        <v>50</v>
      </c>
      <c r="Q108" s="4">
        <f>Table2[[#This Row],[Room Booked]]*Table2[[#This Row],[Price]]</f>
        <v>661248</v>
      </c>
      <c r="R108" s="4">
        <v>31350.3</v>
      </c>
    </row>
    <row r="109" spans="1:18" x14ac:dyDescent="0.3">
      <c r="A109" s="2">
        <v>2022</v>
      </c>
      <c r="B109" s="2" t="s">
        <v>36</v>
      </c>
      <c r="C109" s="2" t="s">
        <v>94</v>
      </c>
      <c r="D109" s="2" t="s">
        <v>60</v>
      </c>
      <c r="E109" s="2" t="s">
        <v>99</v>
      </c>
      <c r="F109" s="2" t="s">
        <v>85</v>
      </c>
      <c r="G109" s="2">
        <v>52</v>
      </c>
      <c r="H109" s="2" t="s">
        <v>33</v>
      </c>
      <c r="I109" s="2" t="s">
        <v>24</v>
      </c>
      <c r="J109" s="3">
        <v>44738</v>
      </c>
      <c r="K109" s="2" t="s">
        <v>46</v>
      </c>
      <c r="L109" s="2" t="s">
        <v>26</v>
      </c>
      <c r="M109" s="2">
        <v>15</v>
      </c>
      <c r="N109" s="2">
        <v>106</v>
      </c>
      <c r="O109" s="2">
        <v>8278</v>
      </c>
      <c r="P109" s="2" t="s">
        <v>27</v>
      </c>
      <c r="Q109" s="4">
        <f>Table2[[#This Row],[Room Booked]]*Table2[[#This Row],[Price]]</f>
        <v>124170</v>
      </c>
      <c r="R109" s="4">
        <v>89402.4</v>
      </c>
    </row>
    <row r="110" spans="1:18" x14ac:dyDescent="0.3">
      <c r="A110" s="2">
        <v>2022</v>
      </c>
      <c r="B110" s="2" t="s">
        <v>51</v>
      </c>
      <c r="C110" s="2" t="s">
        <v>59</v>
      </c>
      <c r="D110" s="2" t="s">
        <v>60</v>
      </c>
      <c r="E110" s="2" t="s">
        <v>99</v>
      </c>
      <c r="F110" s="2" t="s">
        <v>86</v>
      </c>
      <c r="G110" s="2">
        <v>27</v>
      </c>
      <c r="H110" s="2" t="s">
        <v>33</v>
      </c>
      <c r="I110" s="2" t="s">
        <v>41</v>
      </c>
      <c r="J110" s="3">
        <v>44824</v>
      </c>
      <c r="K110" s="2" t="s">
        <v>68</v>
      </c>
      <c r="L110" s="2" t="s">
        <v>43</v>
      </c>
      <c r="M110" s="2">
        <v>13</v>
      </c>
      <c r="N110" s="2">
        <v>107</v>
      </c>
      <c r="O110" s="2">
        <v>119616</v>
      </c>
      <c r="P110" s="2" t="s">
        <v>50</v>
      </c>
      <c r="Q110" s="4">
        <f>Table2[[#This Row],[Room Booked]]*Table2[[#This Row],[Price]]</f>
        <v>1555008</v>
      </c>
      <c r="R110" s="4">
        <v>11587.8</v>
      </c>
    </row>
    <row r="111" spans="1:18" x14ac:dyDescent="0.3">
      <c r="A111" s="2">
        <v>2022</v>
      </c>
      <c r="B111" s="2" t="s">
        <v>18</v>
      </c>
      <c r="C111" s="2" t="s">
        <v>59</v>
      </c>
      <c r="D111" s="2" t="s">
        <v>60</v>
      </c>
      <c r="E111" s="2" t="s">
        <v>100</v>
      </c>
      <c r="F111" s="2" t="s">
        <v>88</v>
      </c>
      <c r="G111" s="2">
        <v>46</v>
      </c>
      <c r="H111" s="2" t="s">
        <v>23</v>
      </c>
      <c r="I111" s="2" t="s">
        <v>41</v>
      </c>
      <c r="J111" s="3">
        <v>44576</v>
      </c>
      <c r="K111" s="2" t="s">
        <v>49</v>
      </c>
      <c r="L111" s="2" t="s">
        <v>34</v>
      </c>
      <c r="M111" s="2">
        <v>16</v>
      </c>
      <c r="N111" s="2">
        <v>99</v>
      </c>
      <c r="O111" s="2">
        <v>220104</v>
      </c>
      <c r="P111" s="2" t="s">
        <v>63</v>
      </c>
      <c r="Q111" s="4">
        <f>Table2[[#This Row],[Room Booked]]*Table2[[#This Row],[Price]]</f>
        <v>3521664</v>
      </c>
      <c r="R111" s="4">
        <v>104549.4</v>
      </c>
    </row>
    <row r="112" spans="1:18" x14ac:dyDescent="0.3">
      <c r="A112" s="2">
        <v>2022</v>
      </c>
      <c r="B112" s="2" t="s">
        <v>51</v>
      </c>
      <c r="C112" s="2" t="s">
        <v>59</v>
      </c>
      <c r="D112" s="2" t="s">
        <v>60</v>
      </c>
      <c r="E112" s="2" t="s">
        <v>100</v>
      </c>
      <c r="F112" s="2" t="s">
        <v>89</v>
      </c>
      <c r="G112" s="2">
        <v>58</v>
      </c>
      <c r="H112" s="2" t="s">
        <v>23</v>
      </c>
      <c r="I112" s="2" t="s">
        <v>24</v>
      </c>
      <c r="J112" s="3">
        <v>44811</v>
      </c>
      <c r="K112" s="2" t="s">
        <v>65</v>
      </c>
      <c r="L112" s="2" t="s">
        <v>34</v>
      </c>
      <c r="M112" s="2">
        <v>16</v>
      </c>
      <c r="N112" s="2">
        <v>119</v>
      </c>
      <c r="O112" s="2">
        <v>1683</v>
      </c>
      <c r="P112" s="2" t="s">
        <v>63</v>
      </c>
      <c r="Q112" s="4">
        <f>Table2[[#This Row],[Room Booked]]*Table2[[#This Row],[Price]]</f>
        <v>26928</v>
      </c>
      <c r="R112" s="4">
        <v>19691.099999999999</v>
      </c>
    </row>
    <row r="113" spans="1:18" x14ac:dyDescent="0.3">
      <c r="A113" s="2">
        <v>2022</v>
      </c>
      <c r="B113" s="2" t="s">
        <v>55</v>
      </c>
      <c r="C113" s="2" t="s">
        <v>94</v>
      </c>
      <c r="D113" s="2" t="s">
        <v>60</v>
      </c>
      <c r="E113" s="2" t="s">
        <v>100</v>
      </c>
      <c r="F113" s="2" t="s">
        <v>90</v>
      </c>
      <c r="G113" s="2">
        <v>54</v>
      </c>
      <c r="H113" s="2" t="s">
        <v>23</v>
      </c>
      <c r="I113" s="2" t="s">
        <v>41</v>
      </c>
      <c r="J113" s="3">
        <v>44776</v>
      </c>
      <c r="K113" s="2" t="s">
        <v>68</v>
      </c>
      <c r="L113" s="2" t="s">
        <v>43</v>
      </c>
      <c r="M113" s="2">
        <v>28</v>
      </c>
      <c r="N113" s="2">
        <v>123</v>
      </c>
      <c r="O113" s="2">
        <v>52768</v>
      </c>
      <c r="P113" s="2" t="s">
        <v>63</v>
      </c>
      <c r="Q113" s="4">
        <f>Table2[[#This Row],[Room Booked]]*Table2[[#This Row],[Price]]</f>
        <v>1477504</v>
      </c>
      <c r="R113" s="4">
        <v>117463.2</v>
      </c>
    </row>
    <row r="114" spans="1:18" x14ac:dyDescent="0.3">
      <c r="A114" s="2">
        <v>2023</v>
      </c>
      <c r="B114" s="2" t="s">
        <v>36</v>
      </c>
      <c r="C114" s="2" t="s">
        <v>94</v>
      </c>
      <c r="D114" s="2" t="s">
        <v>60</v>
      </c>
      <c r="E114" s="2" t="s">
        <v>100</v>
      </c>
      <c r="F114" s="2" t="s">
        <v>22</v>
      </c>
      <c r="G114" s="2">
        <v>68</v>
      </c>
      <c r="H114" s="2" t="s">
        <v>33</v>
      </c>
      <c r="I114" s="2" t="s">
        <v>24</v>
      </c>
      <c r="J114" s="3">
        <v>45099</v>
      </c>
      <c r="K114" s="2" t="s">
        <v>68</v>
      </c>
      <c r="L114" s="2" t="s">
        <v>26</v>
      </c>
      <c r="M114" s="2">
        <v>16</v>
      </c>
      <c r="N114" s="2">
        <v>99</v>
      </c>
      <c r="O114" s="2">
        <v>23616</v>
      </c>
      <c r="P114" s="2" t="s">
        <v>50</v>
      </c>
      <c r="Q114" s="4">
        <f>Table2[[#This Row],[Room Booked]]*Table2[[#This Row],[Price]]</f>
        <v>377856</v>
      </c>
      <c r="R114" s="4">
        <v>31350.3</v>
      </c>
    </row>
    <row r="115" spans="1:18" x14ac:dyDescent="0.3">
      <c r="A115" s="2">
        <v>2022</v>
      </c>
      <c r="B115" s="2" t="s">
        <v>36</v>
      </c>
      <c r="C115" s="2" t="s">
        <v>94</v>
      </c>
      <c r="D115" s="2" t="s">
        <v>60</v>
      </c>
      <c r="E115" s="2" t="s">
        <v>100</v>
      </c>
      <c r="F115" s="2" t="s">
        <v>32</v>
      </c>
      <c r="G115" s="2">
        <v>52</v>
      </c>
      <c r="H115" s="2" t="s">
        <v>33</v>
      </c>
      <c r="I115" s="2" t="s">
        <v>41</v>
      </c>
      <c r="J115" s="3">
        <v>44738</v>
      </c>
      <c r="K115" s="2" t="s">
        <v>46</v>
      </c>
      <c r="L115" s="2" t="s">
        <v>26</v>
      </c>
      <c r="M115" s="2">
        <v>15</v>
      </c>
      <c r="N115" s="2">
        <v>106</v>
      </c>
      <c r="O115" s="2">
        <v>8278</v>
      </c>
      <c r="P115" s="2" t="s">
        <v>27</v>
      </c>
      <c r="Q115" s="4">
        <f>Table2[[#This Row],[Room Booked]]*Table2[[#This Row],[Price]]</f>
        <v>124170</v>
      </c>
      <c r="R115" s="4">
        <v>89402.4</v>
      </c>
    </row>
    <row r="116" spans="1:18" x14ac:dyDescent="0.3">
      <c r="A116" s="2">
        <v>2022</v>
      </c>
      <c r="B116" s="2" t="s">
        <v>51</v>
      </c>
      <c r="C116" s="2" t="s">
        <v>59</v>
      </c>
      <c r="D116" s="2" t="s">
        <v>60</v>
      </c>
      <c r="E116" s="2" t="s">
        <v>100</v>
      </c>
      <c r="F116" s="2" t="s">
        <v>40</v>
      </c>
      <c r="G116" s="2">
        <v>27</v>
      </c>
      <c r="H116" s="2" t="s">
        <v>33</v>
      </c>
      <c r="I116" s="2" t="s">
        <v>41</v>
      </c>
      <c r="J116" s="3">
        <v>44824</v>
      </c>
      <c r="K116" s="2" t="s">
        <v>68</v>
      </c>
      <c r="L116" s="2" t="s">
        <v>43</v>
      </c>
      <c r="M116" s="2">
        <v>6</v>
      </c>
      <c r="N116" s="2">
        <v>107</v>
      </c>
      <c r="O116" s="2">
        <v>119616</v>
      </c>
      <c r="P116" s="2" t="s">
        <v>50</v>
      </c>
      <c r="Q116" s="4">
        <f>Table2[[#This Row],[Room Booked]]*Table2[[#This Row],[Price]]</f>
        <v>717696</v>
      </c>
      <c r="R116" s="4">
        <v>11587.8</v>
      </c>
    </row>
    <row r="117" spans="1:18" x14ac:dyDescent="0.3">
      <c r="A117" s="2">
        <v>2022</v>
      </c>
      <c r="B117" s="2" t="s">
        <v>18</v>
      </c>
      <c r="C117" s="2" t="s">
        <v>59</v>
      </c>
      <c r="D117" s="2" t="s">
        <v>60</v>
      </c>
      <c r="E117" s="2" t="s">
        <v>100</v>
      </c>
      <c r="F117" s="2" t="s">
        <v>45</v>
      </c>
      <c r="G117" s="2">
        <v>46</v>
      </c>
      <c r="H117" s="2" t="s">
        <v>23</v>
      </c>
      <c r="I117" s="2" t="s">
        <v>24</v>
      </c>
      <c r="J117" s="3">
        <v>44576</v>
      </c>
      <c r="K117" s="2" t="s">
        <v>49</v>
      </c>
      <c r="L117" s="2" t="s">
        <v>34</v>
      </c>
      <c r="M117" s="2">
        <v>16</v>
      </c>
      <c r="N117" s="2">
        <v>99</v>
      </c>
      <c r="O117" s="2">
        <v>220104</v>
      </c>
      <c r="P117" s="2" t="s">
        <v>63</v>
      </c>
      <c r="Q117" s="4">
        <f>Table2[[#This Row],[Room Booked]]*Table2[[#This Row],[Price]]</f>
        <v>3521664</v>
      </c>
      <c r="R117" s="4">
        <v>104549.4</v>
      </c>
    </row>
    <row r="118" spans="1:18" x14ac:dyDescent="0.3">
      <c r="A118" s="2">
        <v>2022</v>
      </c>
      <c r="B118" s="2" t="s">
        <v>51</v>
      </c>
      <c r="C118" s="2" t="s">
        <v>59</v>
      </c>
      <c r="D118" s="2" t="s">
        <v>60</v>
      </c>
      <c r="E118" s="2" t="s">
        <v>100</v>
      </c>
      <c r="F118" s="2" t="s">
        <v>48</v>
      </c>
      <c r="G118" s="2">
        <v>58</v>
      </c>
      <c r="H118" s="2" t="s">
        <v>23</v>
      </c>
      <c r="I118" s="2" t="s">
        <v>41</v>
      </c>
      <c r="J118" s="3">
        <v>44811</v>
      </c>
      <c r="K118" s="2" t="s">
        <v>65</v>
      </c>
      <c r="L118" s="2" t="s">
        <v>34</v>
      </c>
      <c r="M118" s="2">
        <v>16</v>
      </c>
      <c r="N118" s="2">
        <v>119</v>
      </c>
      <c r="O118" s="2">
        <v>1683</v>
      </c>
      <c r="P118" s="2" t="s">
        <v>63</v>
      </c>
      <c r="Q118" s="4">
        <f>Table2[[#This Row],[Room Booked]]*Table2[[#This Row],[Price]]</f>
        <v>26928</v>
      </c>
      <c r="R118" s="4">
        <v>19691.099999999999</v>
      </c>
    </row>
    <row r="119" spans="1:18" x14ac:dyDescent="0.3">
      <c r="A119" s="2">
        <v>2022</v>
      </c>
      <c r="B119" s="2" t="s">
        <v>55</v>
      </c>
      <c r="C119" s="2" t="s">
        <v>94</v>
      </c>
      <c r="D119" s="2" t="s">
        <v>60</v>
      </c>
      <c r="E119" s="2" t="s">
        <v>100</v>
      </c>
      <c r="F119" s="2" t="s">
        <v>52</v>
      </c>
      <c r="G119" s="2">
        <v>54</v>
      </c>
      <c r="H119" s="2" t="s">
        <v>23</v>
      </c>
      <c r="I119" s="2" t="s">
        <v>41</v>
      </c>
      <c r="J119" s="3">
        <v>44776</v>
      </c>
      <c r="K119" s="2" t="s">
        <v>68</v>
      </c>
      <c r="L119" s="2" t="s">
        <v>43</v>
      </c>
      <c r="M119" s="2">
        <v>28</v>
      </c>
      <c r="N119" s="2">
        <v>123</v>
      </c>
      <c r="O119" s="2">
        <v>252768</v>
      </c>
      <c r="P119" s="2" t="s">
        <v>63</v>
      </c>
      <c r="Q119" s="4">
        <f>Table2[[#This Row],[Room Booked]]*Table2[[#This Row],[Price]]</f>
        <v>7077504</v>
      </c>
      <c r="R119" s="4">
        <v>117463.2</v>
      </c>
    </row>
    <row r="120" spans="1:18" x14ac:dyDescent="0.3">
      <c r="A120" s="2">
        <v>2023</v>
      </c>
      <c r="B120" s="2" t="s">
        <v>36</v>
      </c>
      <c r="C120" s="2" t="s">
        <v>94</v>
      </c>
      <c r="D120" s="2" t="s">
        <v>60</v>
      </c>
      <c r="E120" s="2" t="s">
        <v>100</v>
      </c>
      <c r="F120" s="2" t="s">
        <v>54</v>
      </c>
      <c r="G120" s="2">
        <v>68</v>
      </c>
      <c r="H120" s="2" t="s">
        <v>33</v>
      </c>
      <c r="I120" s="2" t="s">
        <v>24</v>
      </c>
      <c r="J120" s="3">
        <v>45099</v>
      </c>
      <c r="K120" s="2" t="s">
        <v>68</v>
      </c>
      <c r="L120" s="2" t="s">
        <v>26</v>
      </c>
      <c r="M120" s="2">
        <v>28</v>
      </c>
      <c r="N120" s="2">
        <v>99</v>
      </c>
      <c r="O120" s="2">
        <v>223616</v>
      </c>
      <c r="P120" s="2" t="s">
        <v>50</v>
      </c>
      <c r="Q120" s="4">
        <f>Table2[[#This Row],[Room Booked]]*Table2[[#This Row],[Price]]</f>
        <v>6261248</v>
      </c>
      <c r="R120" s="4">
        <v>31350.3</v>
      </c>
    </row>
    <row r="121" spans="1:18" x14ac:dyDescent="0.3">
      <c r="A121" s="2">
        <v>2022</v>
      </c>
      <c r="B121" s="2" t="s">
        <v>36</v>
      </c>
      <c r="C121" s="2" t="s">
        <v>94</v>
      </c>
      <c r="D121" s="2" t="s">
        <v>60</v>
      </c>
      <c r="E121" s="2" t="s">
        <v>100</v>
      </c>
      <c r="F121" s="2" t="s">
        <v>56</v>
      </c>
      <c r="G121" s="2">
        <v>52</v>
      </c>
      <c r="H121" s="2" t="s">
        <v>33</v>
      </c>
      <c r="I121" s="2" t="s">
        <v>24</v>
      </c>
      <c r="J121" s="3">
        <v>44738</v>
      </c>
      <c r="K121" s="2" t="s">
        <v>46</v>
      </c>
      <c r="L121" s="2" t="s">
        <v>26</v>
      </c>
      <c r="M121" s="2">
        <v>15</v>
      </c>
      <c r="N121" s="2">
        <v>106</v>
      </c>
      <c r="O121" s="2">
        <v>8278</v>
      </c>
      <c r="P121" s="2" t="s">
        <v>27</v>
      </c>
      <c r="Q121" s="4">
        <f>Table2[[#This Row],[Room Booked]]*Table2[[#This Row],[Price]]</f>
        <v>124170</v>
      </c>
      <c r="R121" s="4">
        <v>89402.4</v>
      </c>
    </row>
    <row r="122" spans="1:18" x14ac:dyDescent="0.3">
      <c r="A122" s="2">
        <v>2022</v>
      </c>
      <c r="B122" s="2" t="s">
        <v>51</v>
      </c>
      <c r="C122" s="2" t="s">
        <v>59</v>
      </c>
      <c r="D122" s="2" t="s">
        <v>60</v>
      </c>
      <c r="E122" s="2" t="s">
        <v>100</v>
      </c>
      <c r="F122" s="2" t="s">
        <v>58</v>
      </c>
      <c r="G122" s="2">
        <v>27</v>
      </c>
      <c r="H122" s="2" t="s">
        <v>33</v>
      </c>
      <c r="I122" s="2" t="s">
        <v>24</v>
      </c>
      <c r="J122" s="3">
        <v>44824</v>
      </c>
      <c r="K122" s="2" t="s">
        <v>68</v>
      </c>
      <c r="L122" s="2" t="s">
        <v>43</v>
      </c>
      <c r="M122" s="2">
        <v>12</v>
      </c>
      <c r="N122" s="2">
        <v>107</v>
      </c>
      <c r="O122" s="2">
        <v>119616</v>
      </c>
      <c r="P122" s="2" t="s">
        <v>50</v>
      </c>
      <c r="Q122" s="4">
        <f>Table2[[#This Row],[Room Booked]]*Table2[[#This Row],[Price]]</f>
        <v>1435392</v>
      </c>
      <c r="R122" s="4">
        <v>11587.8</v>
      </c>
    </row>
    <row r="123" spans="1:18" x14ac:dyDescent="0.3">
      <c r="A123" s="2">
        <v>2022</v>
      </c>
      <c r="B123" s="2" t="s">
        <v>28</v>
      </c>
      <c r="C123" s="2" t="s">
        <v>29</v>
      </c>
      <c r="D123" s="2" t="s">
        <v>30</v>
      </c>
      <c r="E123" s="2" t="s">
        <v>101</v>
      </c>
      <c r="F123" s="2" t="s">
        <v>62</v>
      </c>
      <c r="G123" s="2">
        <v>21</v>
      </c>
      <c r="H123" s="2" t="s">
        <v>33</v>
      </c>
      <c r="I123" s="2" t="s">
        <v>24</v>
      </c>
      <c r="J123" s="3">
        <v>44674</v>
      </c>
      <c r="K123" s="2" t="s">
        <v>25</v>
      </c>
      <c r="L123" s="2" t="s">
        <v>34</v>
      </c>
      <c r="M123" s="2">
        <v>26</v>
      </c>
      <c r="N123" s="2">
        <v>106</v>
      </c>
      <c r="O123" s="2">
        <v>3928</v>
      </c>
      <c r="P123" s="2" t="s">
        <v>35</v>
      </c>
      <c r="Q123" s="4">
        <f>Table2[[#This Row],[Room Booked]]*Table2[[#This Row],[Price]]</f>
        <v>102128</v>
      </c>
      <c r="R123" s="4">
        <v>44779.199999999997</v>
      </c>
    </row>
    <row r="124" spans="1:18" x14ac:dyDescent="0.3">
      <c r="A124" s="2">
        <v>2022</v>
      </c>
      <c r="B124" s="2" t="s">
        <v>47</v>
      </c>
      <c r="C124" s="2" t="s">
        <v>29</v>
      </c>
      <c r="D124" s="2" t="s">
        <v>30</v>
      </c>
      <c r="E124" s="2" t="s">
        <v>101</v>
      </c>
      <c r="F124" s="2" t="s">
        <v>64</v>
      </c>
      <c r="G124" s="2">
        <v>56</v>
      </c>
      <c r="H124" s="2" t="s">
        <v>23</v>
      </c>
      <c r="I124" s="2" t="s">
        <v>24</v>
      </c>
      <c r="J124" s="3">
        <v>44914</v>
      </c>
      <c r="K124" s="2" t="s">
        <v>49</v>
      </c>
      <c r="L124" s="2" t="s">
        <v>34</v>
      </c>
      <c r="M124" s="2">
        <v>47</v>
      </c>
      <c r="N124" s="2">
        <v>121</v>
      </c>
      <c r="O124" s="2">
        <v>173568</v>
      </c>
      <c r="P124" s="2" t="s">
        <v>50</v>
      </c>
      <c r="Q124" s="4">
        <f>Table2[[#This Row],[Room Booked]]*Table2[[#This Row],[Price]]</f>
        <v>8157696</v>
      </c>
      <c r="R124" s="4">
        <v>197433.60000000001</v>
      </c>
    </row>
    <row r="125" spans="1:18" x14ac:dyDescent="0.3">
      <c r="A125" s="2">
        <v>2022</v>
      </c>
      <c r="B125" s="2" t="s">
        <v>55</v>
      </c>
      <c r="C125" s="2" t="s">
        <v>29</v>
      </c>
      <c r="D125" s="2" t="s">
        <v>30</v>
      </c>
      <c r="E125" s="2" t="s">
        <v>101</v>
      </c>
      <c r="F125" s="2" t="s">
        <v>66</v>
      </c>
      <c r="G125" s="2">
        <v>22</v>
      </c>
      <c r="H125" s="2" t="s">
        <v>33</v>
      </c>
      <c r="I125" s="2" t="s">
        <v>24</v>
      </c>
      <c r="J125" s="3">
        <v>44782</v>
      </c>
      <c r="K125" s="2" t="s">
        <v>42</v>
      </c>
      <c r="L125" s="2" t="s">
        <v>26</v>
      </c>
      <c r="M125" s="2">
        <v>38</v>
      </c>
      <c r="N125" s="2">
        <v>105</v>
      </c>
      <c r="O125" s="2">
        <v>35248</v>
      </c>
      <c r="P125" s="2" t="s">
        <v>35</v>
      </c>
      <c r="Q125" s="4">
        <f>Table2[[#This Row],[Room Booked]]*Table2[[#This Row],[Price]]</f>
        <v>1339424</v>
      </c>
      <c r="R125" s="4">
        <v>91204.2</v>
      </c>
    </row>
    <row r="126" spans="1:18" x14ac:dyDescent="0.3">
      <c r="A126" s="2">
        <v>2023</v>
      </c>
      <c r="B126" s="2" t="s">
        <v>36</v>
      </c>
      <c r="C126" s="2" t="s">
        <v>29</v>
      </c>
      <c r="D126" s="2" t="s">
        <v>30</v>
      </c>
      <c r="E126" s="2" t="s">
        <v>101</v>
      </c>
      <c r="F126" s="2" t="s">
        <v>67</v>
      </c>
      <c r="G126" s="2">
        <v>35</v>
      </c>
      <c r="H126" s="2" t="s">
        <v>33</v>
      </c>
      <c r="I126" s="2" t="s">
        <v>24</v>
      </c>
      <c r="J126" s="3">
        <v>45095</v>
      </c>
      <c r="K126" s="2" t="s">
        <v>68</v>
      </c>
      <c r="L126" s="2" t="s">
        <v>26</v>
      </c>
      <c r="M126" s="2">
        <v>27</v>
      </c>
      <c r="N126" s="2">
        <v>109</v>
      </c>
      <c r="O126" s="2">
        <v>76704</v>
      </c>
      <c r="P126" s="2" t="s">
        <v>50</v>
      </c>
      <c r="Q126" s="4">
        <f>Table2[[#This Row],[Room Booked]]*Table2[[#This Row],[Price]]</f>
        <v>2071008</v>
      </c>
      <c r="R126" s="4">
        <v>86702.7</v>
      </c>
    </row>
    <row r="127" spans="1:18" x14ac:dyDescent="0.3">
      <c r="A127" s="2">
        <v>2022</v>
      </c>
      <c r="B127" s="2" t="s">
        <v>69</v>
      </c>
      <c r="C127" s="2" t="s">
        <v>29</v>
      </c>
      <c r="D127" s="2" t="s">
        <v>30</v>
      </c>
      <c r="E127" s="2" t="s">
        <v>101</v>
      </c>
      <c r="F127" s="2" t="s">
        <v>73</v>
      </c>
      <c r="G127" s="2">
        <v>20</v>
      </c>
      <c r="H127" s="2" t="s">
        <v>33</v>
      </c>
      <c r="I127" s="2" t="s">
        <v>24</v>
      </c>
      <c r="J127" s="3">
        <v>44866</v>
      </c>
      <c r="K127" s="2" t="s">
        <v>46</v>
      </c>
      <c r="L127" s="2" t="s">
        <v>34</v>
      </c>
      <c r="M127" s="2">
        <v>19</v>
      </c>
      <c r="N127" s="2">
        <v>125</v>
      </c>
      <c r="O127" s="2">
        <v>7364</v>
      </c>
      <c r="P127" s="2" t="s">
        <v>27</v>
      </c>
      <c r="Q127" s="4">
        <f>Table2[[#This Row],[Room Booked]]*Table2[[#This Row],[Price]]</f>
        <v>139916</v>
      </c>
      <c r="R127" s="4">
        <v>46393.2</v>
      </c>
    </row>
    <row r="128" spans="1:18" x14ac:dyDescent="0.3">
      <c r="A128" s="2">
        <v>2022</v>
      </c>
      <c r="B128" s="2" t="s">
        <v>28</v>
      </c>
      <c r="C128" s="2" t="s">
        <v>29</v>
      </c>
      <c r="D128" s="2" t="s">
        <v>30</v>
      </c>
      <c r="E128" s="2" t="s">
        <v>101</v>
      </c>
      <c r="F128" s="2" t="s">
        <v>74</v>
      </c>
      <c r="G128" s="2">
        <v>21</v>
      </c>
      <c r="H128" s="2" t="s">
        <v>33</v>
      </c>
      <c r="I128" s="2" t="s">
        <v>24</v>
      </c>
      <c r="J128" s="3">
        <v>44674</v>
      </c>
      <c r="K128" s="2" t="s">
        <v>25</v>
      </c>
      <c r="L128" s="2" t="s">
        <v>34</v>
      </c>
      <c r="M128" s="2">
        <v>26</v>
      </c>
      <c r="N128" s="2">
        <v>106</v>
      </c>
      <c r="O128" s="2">
        <v>3928</v>
      </c>
      <c r="P128" s="2" t="s">
        <v>35</v>
      </c>
      <c r="Q128" s="4">
        <f>Table2[[#This Row],[Room Booked]]*Table2[[#This Row],[Price]]</f>
        <v>102128</v>
      </c>
      <c r="R128" s="4">
        <v>44779.199999999997</v>
      </c>
    </row>
    <row r="129" spans="1:18" x14ac:dyDescent="0.3">
      <c r="A129" s="2">
        <v>2022</v>
      </c>
      <c r="B129" s="2" t="s">
        <v>47</v>
      </c>
      <c r="C129" s="2" t="s">
        <v>29</v>
      </c>
      <c r="D129" s="2" t="s">
        <v>30</v>
      </c>
      <c r="E129" s="2" t="s">
        <v>101</v>
      </c>
      <c r="F129" s="2" t="s">
        <v>75</v>
      </c>
      <c r="G129" s="2">
        <v>56</v>
      </c>
      <c r="H129" s="2" t="s">
        <v>23</v>
      </c>
      <c r="I129" s="2" t="s">
        <v>24</v>
      </c>
      <c r="J129" s="3">
        <v>44914</v>
      </c>
      <c r="K129" s="2" t="s">
        <v>49</v>
      </c>
      <c r="L129" s="2" t="s">
        <v>34</v>
      </c>
      <c r="M129" s="2">
        <v>47</v>
      </c>
      <c r="N129" s="2">
        <v>121</v>
      </c>
      <c r="O129" s="2">
        <v>173568</v>
      </c>
      <c r="P129" s="2" t="s">
        <v>50</v>
      </c>
      <c r="Q129" s="4">
        <f>Table2[[#This Row],[Room Booked]]*Table2[[#This Row],[Price]]</f>
        <v>8157696</v>
      </c>
      <c r="R129" s="4">
        <v>197433.60000000001</v>
      </c>
    </row>
    <row r="130" spans="1:18" x14ac:dyDescent="0.3">
      <c r="A130" s="2">
        <v>2022</v>
      </c>
      <c r="B130" s="2" t="s">
        <v>55</v>
      </c>
      <c r="C130" s="2" t="s">
        <v>29</v>
      </c>
      <c r="D130" s="2" t="s">
        <v>30</v>
      </c>
      <c r="E130" s="2" t="s">
        <v>101</v>
      </c>
      <c r="F130" s="2" t="s">
        <v>77</v>
      </c>
      <c r="G130" s="2">
        <v>22</v>
      </c>
      <c r="H130" s="2" t="s">
        <v>33</v>
      </c>
      <c r="I130" s="2" t="s">
        <v>41</v>
      </c>
      <c r="J130" s="3">
        <v>44782</v>
      </c>
      <c r="K130" s="2" t="s">
        <v>42</v>
      </c>
      <c r="L130" s="2" t="s">
        <v>26</v>
      </c>
      <c r="M130" s="2">
        <v>38</v>
      </c>
      <c r="N130" s="2">
        <v>105</v>
      </c>
      <c r="O130" s="2">
        <v>35248</v>
      </c>
      <c r="P130" s="2" t="s">
        <v>35</v>
      </c>
      <c r="Q130" s="4">
        <f>Table2[[#This Row],[Room Booked]]*Table2[[#This Row],[Price]]</f>
        <v>1339424</v>
      </c>
      <c r="R130" s="4">
        <v>91204.2</v>
      </c>
    </row>
    <row r="131" spans="1:18" x14ac:dyDescent="0.3">
      <c r="A131" s="2">
        <v>2023</v>
      </c>
      <c r="B131" s="2" t="s">
        <v>36</v>
      </c>
      <c r="C131" s="2" t="s">
        <v>29</v>
      </c>
      <c r="D131" s="2" t="s">
        <v>30</v>
      </c>
      <c r="E131" s="2" t="s">
        <v>101</v>
      </c>
      <c r="F131" s="2" t="s">
        <v>78</v>
      </c>
      <c r="G131" s="2">
        <v>35</v>
      </c>
      <c r="H131" s="2" t="s">
        <v>33</v>
      </c>
      <c r="I131" s="2" t="s">
        <v>41</v>
      </c>
      <c r="J131" s="3">
        <v>45095</v>
      </c>
      <c r="K131" s="2" t="s">
        <v>68</v>
      </c>
      <c r="L131" s="2" t="s">
        <v>26</v>
      </c>
      <c r="M131" s="2">
        <v>27</v>
      </c>
      <c r="N131" s="2">
        <v>109</v>
      </c>
      <c r="O131" s="2">
        <v>76704</v>
      </c>
      <c r="P131" s="2" t="s">
        <v>50</v>
      </c>
      <c r="Q131" s="4">
        <f>Table2[[#This Row],[Room Booked]]*Table2[[#This Row],[Price]]</f>
        <v>2071008</v>
      </c>
      <c r="R131" s="4">
        <v>86702.7</v>
      </c>
    </row>
    <row r="132" spans="1:18" x14ac:dyDescent="0.3">
      <c r="A132" s="2">
        <v>2022</v>
      </c>
      <c r="B132" s="2" t="s">
        <v>69</v>
      </c>
      <c r="C132" s="2" t="s">
        <v>29</v>
      </c>
      <c r="D132" s="2" t="s">
        <v>30</v>
      </c>
      <c r="E132" s="2" t="s">
        <v>101</v>
      </c>
      <c r="F132" s="2" t="s">
        <v>79</v>
      </c>
      <c r="G132" s="2">
        <v>20</v>
      </c>
      <c r="H132" s="2" t="s">
        <v>33</v>
      </c>
      <c r="I132" s="2" t="s">
        <v>24</v>
      </c>
      <c r="J132" s="3">
        <v>44866</v>
      </c>
      <c r="K132" s="2" t="s">
        <v>46</v>
      </c>
      <c r="L132" s="2" t="s">
        <v>34</v>
      </c>
      <c r="M132" s="2">
        <v>19</v>
      </c>
      <c r="N132" s="2">
        <v>125</v>
      </c>
      <c r="O132" s="2">
        <v>7364</v>
      </c>
      <c r="P132" s="2" t="s">
        <v>27</v>
      </c>
      <c r="Q132" s="4">
        <f>Table2[[#This Row],[Room Booked]]*Table2[[#This Row],[Price]]</f>
        <v>139916</v>
      </c>
      <c r="R132" s="4">
        <v>46393.2</v>
      </c>
    </row>
    <row r="133" spans="1:18" x14ac:dyDescent="0.3">
      <c r="A133" s="2">
        <v>2022</v>
      </c>
      <c r="B133" s="2" t="s">
        <v>95</v>
      </c>
      <c r="C133" s="2" t="s">
        <v>19</v>
      </c>
      <c r="D133" s="2" t="s">
        <v>20</v>
      </c>
      <c r="E133" s="2" t="s">
        <v>21</v>
      </c>
      <c r="F133" s="2" t="s">
        <v>22</v>
      </c>
      <c r="G133" s="2">
        <v>37</v>
      </c>
      <c r="H133" s="2" t="s">
        <v>23</v>
      </c>
      <c r="I133" s="2" t="s">
        <v>24</v>
      </c>
      <c r="J133" s="3">
        <v>44601</v>
      </c>
      <c r="K133" s="2" t="s">
        <v>25</v>
      </c>
      <c r="L133" s="2" t="s">
        <v>26</v>
      </c>
      <c r="M133" s="2">
        <v>16</v>
      </c>
      <c r="N133" s="2">
        <v>99</v>
      </c>
      <c r="O133" s="2">
        <v>4867</v>
      </c>
      <c r="P133" s="2" t="s">
        <v>27</v>
      </c>
      <c r="Q133" s="4">
        <v>43803</v>
      </c>
      <c r="R133" s="4">
        <v>32122.199999999997</v>
      </c>
    </row>
    <row r="134" spans="1:18" x14ac:dyDescent="0.3">
      <c r="A134" s="2">
        <v>2022</v>
      </c>
      <c r="B134" s="2" t="s">
        <v>95</v>
      </c>
      <c r="C134" s="2" t="s">
        <v>59</v>
      </c>
      <c r="D134" s="2" t="s">
        <v>60</v>
      </c>
      <c r="E134" s="2" t="s">
        <v>61</v>
      </c>
      <c r="F134" s="2" t="s">
        <v>62</v>
      </c>
      <c r="G134" s="2">
        <v>46</v>
      </c>
      <c r="H134" s="2" t="s">
        <v>23</v>
      </c>
      <c r="I134" s="2" t="s">
        <v>41</v>
      </c>
      <c r="J134" s="3">
        <v>44607</v>
      </c>
      <c r="K134" s="2" t="s">
        <v>49</v>
      </c>
      <c r="L134" s="2" t="s">
        <v>34</v>
      </c>
      <c r="M134" s="2">
        <v>16</v>
      </c>
      <c r="N134" s="2">
        <v>99</v>
      </c>
      <c r="O134" s="2">
        <v>20104</v>
      </c>
      <c r="P134" s="2" t="s">
        <v>63</v>
      </c>
      <c r="Q134" s="4">
        <v>321664</v>
      </c>
      <c r="R134" s="4">
        <v>104549.4</v>
      </c>
    </row>
    <row r="135" spans="1:18" x14ac:dyDescent="0.3">
      <c r="A135" s="2">
        <v>2022</v>
      </c>
      <c r="B135" s="2" t="s">
        <v>95</v>
      </c>
      <c r="C135" s="2" t="s">
        <v>70</v>
      </c>
      <c r="D135" s="2" t="s">
        <v>71</v>
      </c>
      <c r="E135" s="2" t="s">
        <v>72</v>
      </c>
      <c r="F135" s="2" t="s">
        <v>84</v>
      </c>
      <c r="G135" s="2">
        <v>21</v>
      </c>
      <c r="H135" s="2" t="s">
        <v>23</v>
      </c>
      <c r="I135" s="2" t="s">
        <v>24</v>
      </c>
      <c r="J135" s="3">
        <v>44617</v>
      </c>
      <c r="K135" s="2" t="s">
        <v>49</v>
      </c>
      <c r="L135" s="2" t="s">
        <v>26</v>
      </c>
      <c r="M135" s="2">
        <v>38</v>
      </c>
      <c r="N135" s="2">
        <v>92</v>
      </c>
      <c r="O135" s="2">
        <v>6456</v>
      </c>
      <c r="P135" s="2" t="s">
        <v>50</v>
      </c>
      <c r="Q135" s="4">
        <v>245328</v>
      </c>
      <c r="R135" s="4">
        <v>216755.1</v>
      </c>
    </row>
    <row r="136" spans="1:18" x14ac:dyDescent="0.3">
      <c r="A136" s="2">
        <v>2022</v>
      </c>
      <c r="B136" s="2" t="s">
        <v>95</v>
      </c>
      <c r="C136" s="2" t="s">
        <v>37</v>
      </c>
      <c r="D136" s="2" t="s">
        <v>38</v>
      </c>
      <c r="E136" s="2" t="s">
        <v>39</v>
      </c>
      <c r="F136" s="2" t="s">
        <v>54</v>
      </c>
      <c r="G136" s="2">
        <v>68</v>
      </c>
      <c r="H136" s="2" t="s">
        <v>33</v>
      </c>
      <c r="I136" s="2" t="s">
        <v>24</v>
      </c>
      <c r="J136" s="3">
        <v>44615</v>
      </c>
      <c r="K136" s="2" t="s">
        <v>80</v>
      </c>
      <c r="L136" s="2" t="s">
        <v>43</v>
      </c>
      <c r="M136" s="2">
        <v>76</v>
      </c>
      <c r="N136" s="2">
        <v>110</v>
      </c>
      <c r="O136" s="2">
        <v>161408</v>
      </c>
      <c r="P136" s="2" t="s">
        <v>27</v>
      </c>
      <c r="Q136" s="4">
        <v>12267008</v>
      </c>
      <c r="R136" s="4">
        <v>43882.799999999996</v>
      </c>
    </row>
    <row r="137" spans="1:18" x14ac:dyDescent="0.3">
      <c r="A137" s="2">
        <v>2022</v>
      </c>
      <c r="B137" s="2" t="s">
        <v>95</v>
      </c>
      <c r="C137" s="2" t="s">
        <v>37</v>
      </c>
      <c r="D137" s="2" t="s">
        <v>38</v>
      </c>
      <c r="E137" s="2" t="s">
        <v>96</v>
      </c>
      <c r="F137" s="2" t="s">
        <v>83</v>
      </c>
      <c r="G137" s="2">
        <v>49</v>
      </c>
      <c r="H137" s="2" t="s">
        <v>33</v>
      </c>
      <c r="I137" s="2" t="s">
        <v>24</v>
      </c>
      <c r="J137" s="3">
        <v>44615</v>
      </c>
      <c r="K137" s="2" t="s">
        <v>80</v>
      </c>
      <c r="L137" s="2" t="s">
        <v>43</v>
      </c>
      <c r="M137" s="2">
        <v>37</v>
      </c>
      <c r="N137" s="2">
        <v>110</v>
      </c>
      <c r="O137" s="2">
        <v>161408</v>
      </c>
      <c r="P137" s="2" t="s">
        <v>27</v>
      </c>
      <c r="Q137" s="4">
        <v>5972096</v>
      </c>
      <c r="R137" s="4">
        <v>43882.799999999996</v>
      </c>
    </row>
    <row r="138" spans="1:18" x14ac:dyDescent="0.3">
      <c r="A138" s="2">
        <v>2022</v>
      </c>
      <c r="B138" s="2" t="s">
        <v>95</v>
      </c>
      <c r="C138" s="2" t="s">
        <v>59</v>
      </c>
      <c r="D138" s="2" t="s">
        <v>92</v>
      </c>
      <c r="E138" s="2" t="s">
        <v>98</v>
      </c>
      <c r="F138" s="2" t="s">
        <v>64</v>
      </c>
      <c r="G138" s="2">
        <v>46</v>
      </c>
      <c r="H138" s="2" t="s">
        <v>23</v>
      </c>
      <c r="I138" s="2" t="s">
        <v>24</v>
      </c>
      <c r="J138" s="3">
        <v>44607</v>
      </c>
      <c r="K138" s="2" t="s">
        <v>49</v>
      </c>
      <c r="L138" s="2" t="s">
        <v>34</v>
      </c>
      <c r="M138" s="2">
        <v>16</v>
      </c>
      <c r="N138" s="2">
        <v>99</v>
      </c>
      <c r="O138" s="2">
        <v>220104</v>
      </c>
      <c r="P138" s="2" t="s">
        <v>63</v>
      </c>
      <c r="Q138" s="4">
        <v>3521664</v>
      </c>
      <c r="R138" s="4">
        <v>104549.4</v>
      </c>
    </row>
    <row r="139" spans="1:18" x14ac:dyDescent="0.3">
      <c r="A139" s="2">
        <v>2022</v>
      </c>
      <c r="B139" s="2" t="s">
        <v>95</v>
      </c>
      <c r="C139" s="2" t="s">
        <v>59</v>
      </c>
      <c r="D139" s="2" t="s">
        <v>60</v>
      </c>
      <c r="E139" s="2" t="s">
        <v>99</v>
      </c>
      <c r="F139" s="2" t="s">
        <v>81</v>
      </c>
      <c r="G139" s="2">
        <v>46</v>
      </c>
      <c r="H139" s="2" t="s">
        <v>23</v>
      </c>
      <c r="I139" s="2" t="s">
        <v>41</v>
      </c>
      <c r="J139" s="3">
        <v>44607</v>
      </c>
      <c r="K139" s="2" t="s">
        <v>49</v>
      </c>
      <c r="L139" s="2" t="s">
        <v>34</v>
      </c>
      <c r="M139" s="2">
        <v>8</v>
      </c>
      <c r="N139" s="2">
        <v>99</v>
      </c>
      <c r="O139" s="2">
        <v>220104</v>
      </c>
      <c r="P139" s="2" t="s">
        <v>63</v>
      </c>
      <c r="Q139" s="4">
        <v>1760832</v>
      </c>
      <c r="R139" s="4">
        <v>104549.4</v>
      </c>
    </row>
    <row r="140" spans="1:18" x14ac:dyDescent="0.3">
      <c r="A140" s="2">
        <v>2022</v>
      </c>
      <c r="B140" s="2" t="s">
        <v>95</v>
      </c>
      <c r="C140" s="2" t="s">
        <v>59</v>
      </c>
      <c r="D140" s="2" t="s">
        <v>60</v>
      </c>
      <c r="E140" s="2" t="s">
        <v>100</v>
      </c>
      <c r="F140" s="2" t="s">
        <v>88</v>
      </c>
      <c r="G140" s="2">
        <v>46</v>
      </c>
      <c r="H140" s="2" t="s">
        <v>23</v>
      </c>
      <c r="I140" s="2" t="s">
        <v>41</v>
      </c>
      <c r="J140" s="3">
        <v>44607</v>
      </c>
      <c r="K140" s="2" t="s">
        <v>49</v>
      </c>
      <c r="L140" s="2" t="s">
        <v>34</v>
      </c>
      <c r="M140" s="2">
        <v>16</v>
      </c>
      <c r="N140" s="2">
        <v>99</v>
      </c>
      <c r="O140" s="2">
        <v>220104</v>
      </c>
      <c r="P140" s="2" t="s">
        <v>63</v>
      </c>
      <c r="Q140" s="4">
        <v>3521664</v>
      </c>
      <c r="R140" s="4">
        <v>104549.4</v>
      </c>
    </row>
    <row r="141" spans="1:18" x14ac:dyDescent="0.3">
      <c r="A141" s="2">
        <v>2022</v>
      </c>
      <c r="B141" s="2" t="s">
        <v>95</v>
      </c>
      <c r="C141" s="2" t="s">
        <v>59</v>
      </c>
      <c r="D141" s="2" t="s">
        <v>60</v>
      </c>
      <c r="E141" s="2" t="s">
        <v>100</v>
      </c>
      <c r="F141" s="2" t="s">
        <v>45</v>
      </c>
      <c r="G141" s="2">
        <v>46</v>
      </c>
      <c r="H141" s="2" t="s">
        <v>23</v>
      </c>
      <c r="I141" s="2" t="s">
        <v>24</v>
      </c>
      <c r="J141" s="3">
        <v>44607</v>
      </c>
      <c r="K141" s="2" t="s">
        <v>49</v>
      </c>
      <c r="L141" s="2" t="s">
        <v>34</v>
      </c>
      <c r="M141" s="2">
        <v>16</v>
      </c>
      <c r="N141" s="2">
        <v>99</v>
      </c>
      <c r="O141" s="2">
        <v>220104</v>
      </c>
      <c r="P141" s="2" t="s">
        <v>63</v>
      </c>
      <c r="Q141" s="4">
        <v>3521664</v>
      </c>
      <c r="R141" s="4">
        <v>104549.4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Shiva kumar N</cp:lastModifiedBy>
  <dcterms:created xsi:type="dcterms:W3CDTF">2026-01-31T01:07:16Z</dcterms:created>
  <dcterms:modified xsi:type="dcterms:W3CDTF">2026-01-31T01:09:47Z</dcterms:modified>
</cp:coreProperties>
</file>