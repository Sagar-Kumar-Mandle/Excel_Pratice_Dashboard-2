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VCE\Sagar BCC\2) Pratice Project Dashboard\1) Excel\10) Hotel Booking Performance\"/>
    </mc:Choice>
  </mc:AlternateContent>
  <xr:revisionPtr revIDLastSave="0" documentId="13_ncr:1_{F68E4B56-236A-4DDA-AFA8-E4A16EA14F8F}" xr6:coauthVersionLast="47" xr6:coauthVersionMax="47" xr10:uidLastSave="{00000000-0000-0000-0000-000000000000}"/>
  <bookViews>
    <workbookView xWindow="-120" yWindow="-120" windowWidth="20730" windowHeight="11160" tabRatio="601" activeTab="2" xr2:uid="{3A1E24DA-2207-4DA1-BE19-8EF0217572AA}"/>
  </bookViews>
  <sheets>
    <sheet name="Main" sheetId="1" r:id="rId1"/>
    <sheet name="Pivot" sheetId="2" r:id="rId2"/>
    <sheet name="Dashboard" sheetId="3" r:id="rId3"/>
  </sheets>
  <definedNames>
    <definedName name="_xlchart.v1.2" hidden="1">Pivot!$T$20:$T$31</definedName>
    <definedName name="_xlchart.v1.3" hidden="1">Pivot!$U$20:$U$31</definedName>
    <definedName name="_xlchart.v2.0" hidden="1">Pivot!$K$20:$K$27</definedName>
    <definedName name="_xlchart.v2.1" hidden="1">Pivot!$L$20:$L$27</definedName>
    <definedName name="Slicer_Country_ShortForm">#N/A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6" i="3" l="1"/>
  <c r="L6" i="3" s="1"/>
  <c r="V6" i="3"/>
  <c r="X6" i="3" s="1"/>
  <c r="S6" i="3"/>
  <c r="U6" i="3" s="1"/>
  <c r="P6" i="3"/>
  <c r="R6" i="3" s="1"/>
  <c r="M6" i="3"/>
  <c r="O6" i="3" s="1"/>
  <c r="G6" i="3"/>
  <c r="I6" i="3" s="1"/>
  <c r="D6" i="3"/>
  <c r="F6" i="3" s="1"/>
  <c r="A6" i="3"/>
  <c r="C6" i="3" s="1"/>
  <c r="AG13" i="2" a="1"/>
  <c r="AG13" i="2" s="1"/>
  <c r="AF13" i="2" a="1"/>
  <c r="AF13" i="2" s="1"/>
  <c r="T20" i="2" a="1"/>
  <c r="T20" i="2" s="1"/>
  <c r="S2" i="1" a="1"/>
  <c r="S2" i="1" s="1"/>
  <c r="S3" i="1" a="1"/>
  <c r="S3" i="1" s="1"/>
  <c r="S4" i="1" a="1"/>
  <c r="S4" i="1" s="1"/>
  <c r="S5" i="1" a="1"/>
  <c r="S5" i="1" s="1"/>
  <c r="S6" i="1" a="1"/>
  <c r="S6" i="1" s="1"/>
  <c r="S7" i="1" a="1"/>
  <c r="S7" i="1" s="1"/>
  <c r="S8" i="1" a="1"/>
  <c r="S8" i="1" s="1"/>
  <c r="S9" i="1" a="1"/>
  <c r="S9" i="1" s="1"/>
  <c r="S10" i="1" a="1"/>
  <c r="S10" i="1" s="1"/>
  <c r="S11" i="1" a="1"/>
  <c r="S11" i="1" s="1"/>
  <c r="S12" i="1" a="1"/>
  <c r="S12" i="1" s="1"/>
  <c r="S13" i="1" a="1"/>
  <c r="S13" i="1" s="1"/>
  <c r="S14" i="1" a="1"/>
  <c r="S14" i="1" s="1"/>
  <c r="S15" i="1" a="1"/>
  <c r="S15" i="1" s="1"/>
  <c r="S16" i="1" a="1"/>
  <c r="S16" i="1" s="1"/>
  <c r="S17" i="1" a="1"/>
  <c r="S17" i="1" s="1"/>
  <c r="S18" i="1" a="1"/>
  <c r="S18" i="1" s="1"/>
  <c r="S19" i="1" a="1"/>
  <c r="S19" i="1" s="1"/>
  <c r="S20" i="1" a="1"/>
  <c r="S20" i="1" s="1"/>
  <c r="S21" i="1" a="1"/>
  <c r="S21" i="1" s="1"/>
  <c r="S22" i="1" a="1"/>
  <c r="S22" i="1" s="1"/>
  <c r="S23" i="1" a="1"/>
  <c r="S23" i="1" s="1"/>
  <c r="S24" i="1" a="1"/>
  <c r="S24" i="1" s="1"/>
  <c r="S25" i="1" a="1"/>
  <c r="S25" i="1" s="1"/>
  <c r="S26" i="1" a="1"/>
  <c r="S26" i="1" s="1"/>
  <c r="S27" i="1" a="1"/>
  <c r="S27" i="1" s="1"/>
  <c r="S28" i="1" a="1"/>
  <c r="S28" i="1" s="1"/>
  <c r="S29" i="1" a="1"/>
  <c r="S29" i="1" s="1"/>
  <c r="S30" i="1" a="1"/>
  <c r="S30" i="1" s="1"/>
  <c r="S31" i="1" a="1"/>
  <c r="S31" i="1" s="1"/>
  <c r="S32" i="1" a="1"/>
  <c r="S32" i="1" s="1"/>
  <c r="S33" i="1" a="1"/>
  <c r="S33" i="1" s="1"/>
  <c r="S34" i="1" a="1"/>
  <c r="S34" i="1" s="1"/>
  <c r="S35" i="1" a="1"/>
  <c r="S35" i="1" s="1"/>
  <c r="S36" i="1" a="1"/>
  <c r="S36" i="1" s="1"/>
  <c r="S37" i="1" a="1"/>
  <c r="S37" i="1" s="1"/>
  <c r="S38" i="1" a="1"/>
  <c r="S38" i="1" s="1"/>
  <c r="S39" i="1" a="1"/>
  <c r="S39" i="1" s="1"/>
  <c r="S40" i="1" a="1"/>
  <c r="S40" i="1" s="1"/>
  <c r="S41" i="1" a="1"/>
  <c r="S41" i="1" s="1"/>
  <c r="S42" i="1" a="1"/>
  <c r="S42" i="1" s="1"/>
  <c r="S43" i="1" a="1"/>
  <c r="S43" i="1" s="1"/>
  <c r="S44" i="1" a="1"/>
  <c r="S44" i="1" s="1"/>
  <c r="S45" i="1" a="1"/>
  <c r="S45" i="1" s="1"/>
  <c r="S46" i="1" a="1"/>
  <c r="S46" i="1" s="1"/>
  <c r="S47" i="1" a="1"/>
  <c r="S47" i="1" s="1"/>
  <c r="S48" i="1" a="1"/>
  <c r="S48" i="1" s="1"/>
  <c r="S49" i="1" a="1"/>
  <c r="S49" i="1" s="1"/>
  <c r="S50" i="1" a="1"/>
  <c r="S50" i="1" s="1"/>
  <c r="S51" i="1" a="1"/>
  <c r="S51" i="1" s="1"/>
  <c r="S52" i="1" a="1"/>
  <c r="S52" i="1" s="1"/>
  <c r="S53" i="1" a="1"/>
  <c r="S53" i="1" s="1"/>
  <c r="S54" i="1" a="1"/>
  <c r="S54" i="1" s="1"/>
  <c r="S55" i="1" a="1"/>
  <c r="S55" i="1" s="1"/>
  <c r="S56" i="1" a="1"/>
  <c r="S56" i="1" s="1"/>
  <c r="S57" i="1" a="1"/>
  <c r="S57" i="1" s="1"/>
  <c r="S58" i="1" a="1"/>
  <c r="S58" i="1" s="1"/>
  <c r="S59" i="1" a="1"/>
  <c r="S59" i="1" s="1"/>
  <c r="S60" i="1" a="1"/>
  <c r="S60" i="1" s="1"/>
  <c r="S61" i="1" a="1"/>
  <c r="S61" i="1" s="1"/>
  <c r="S62" i="1" a="1"/>
  <c r="S62" i="1" s="1"/>
  <c r="S63" i="1" a="1"/>
  <c r="S63" i="1" s="1"/>
  <c r="S64" i="1" a="1"/>
  <c r="S64" i="1" s="1"/>
  <c r="S65" i="1" a="1"/>
  <c r="S65" i="1" s="1"/>
  <c r="S66" i="1" a="1"/>
  <c r="S66" i="1" s="1"/>
  <c r="S67" i="1" a="1"/>
  <c r="S67" i="1" s="1"/>
  <c r="S68" i="1" a="1"/>
  <c r="S68" i="1" s="1"/>
  <c r="S69" i="1" a="1"/>
  <c r="S69" i="1" s="1"/>
  <c r="S70" i="1" a="1"/>
  <c r="S70" i="1" s="1"/>
  <c r="S71" i="1" a="1"/>
  <c r="S71" i="1" s="1"/>
  <c r="S72" i="1" a="1"/>
  <c r="S72" i="1" s="1"/>
  <c r="S73" i="1" a="1"/>
  <c r="S73" i="1" s="1"/>
  <c r="S74" i="1" a="1"/>
  <c r="S74" i="1" s="1"/>
  <c r="S75" i="1" a="1"/>
  <c r="S75" i="1" s="1"/>
  <c r="S76" i="1" a="1"/>
  <c r="S76" i="1" s="1"/>
  <c r="S77" i="1" a="1"/>
  <c r="S77" i="1" s="1"/>
  <c r="S78" i="1" a="1"/>
  <c r="S78" i="1" s="1"/>
  <c r="S79" i="1" a="1"/>
  <c r="S79" i="1" s="1"/>
  <c r="S80" i="1" a="1"/>
  <c r="S80" i="1" s="1"/>
  <c r="S81" i="1" a="1"/>
  <c r="S81" i="1" s="1"/>
  <c r="S82" i="1" a="1"/>
  <c r="S82" i="1" s="1"/>
  <c r="S83" i="1" a="1"/>
  <c r="S83" i="1" s="1"/>
  <c r="S84" i="1" a="1"/>
  <c r="S84" i="1" s="1"/>
  <c r="S85" i="1" a="1"/>
  <c r="S85" i="1" s="1"/>
  <c r="S86" i="1" a="1"/>
  <c r="S86" i="1" s="1"/>
  <c r="S87" i="1" a="1"/>
  <c r="S87" i="1" s="1"/>
  <c r="S88" i="1" a="1"/>
  <c r="S88" i="1" s="1"/>
  <c r="S89" i="1" a="1"/>
  <c r="S89" i="1" s="1"/>
  <c r="S90" i="1" a="1"/>
  <c r="S90" i="1" s="1"/>
  <c r="S91" i="1" a="1"/>
  <c r="S91" i="1" s="1"/>
  <c r="S92" i="1" a="1"/>
  <c r="S92" i="1" s="1"/>
  <c r="S93" i="1" a="1"/>
  <c r="S93" i="1" s="1"/>
  <c r="S94" i="1" a="1"/>
  <c r="S94" i="1" s="1"/>
  <c r="S95" i="1" a="1"/>
  <c r="S95" i="1" s="1"/>
  <c r="S96" i="1" a="1"/>
  <c r="S96" i="1" s="1"/>
  <c r="S97" i="1" a="1"/>
  <c r="S97" i="1" s="1"/>
  <c r="S98" i="1" a="1"/>
  <c r="S98" i="1" s="1"/>
  <c r="S99" i="1" a="1"/>
  <c r="S99" i="1" s="1"/>
  <c r="S100" i="1" a="1"/>
  <c r="S100" i="1" s="1"/>
  <c r="S101" i="1" a="1"/>
  <c r="S101" i="1" s="1"/>
  <c r="S102" i="1" a="1"/>
  <c r="S102" i="1" s="1"/>
  <c r="S103" i="1" a="1"/>
  <c r="S103" i="1" s="1"/>
  <c r="S104" i="1" a="1"/>
  <c r="S104" i="1" s="1"/>
  <c r="S105" i="1" a="1"/>
  <c r="S105" i="1" s="1"/>
  <c r="S106" i="1" a="1"/>
  <c r="S106" i="1" s="1"/>
  <c r="S107" i="1" a="1"/>
  <c r="S107" i="1" s="1"/>
  <c r="S108" i="1" a="1"/>
  <c r="S108" i="1" s="1"/>
  <c r="S109" i="1" a="1"/>
  <c r="S109" i="1" s="1"/>
  <c r="S110" i="1" a="1"/>
  <c r="S110" i="1" s="1"/>
  <c r="S111" i="1" a="1"/>
  <c r="S111" i="1" s="1"/>
  <c r="S112" i="1" a="1"/>
  <c r="S112" i="1" s="1"/>
  <c r="S113" i="1" a="1"/>
  <c r="S113" i="1" s="1"/>
  <c r="S114" i="1" a="1"/>
  <c r="S114" i="1" s="1"/>
  <c r="S115" i="1" a="1"/>
  <c r="S115" i="1" s="1"/>
  <c r="S116" i="1" a="1"/>
  <c r="S116" i="1" s="1"/>
  <c r="S117" i="1" a="1"/>
  <c r="S117" i="1" s="1"/>
  <c r="S118" i="1" a="1"/>
  <c r="S118" i="1" s="1"/>
  <c r="S119" i="1" a="1"/>
  <c r="S119" i="1" s="1"/>
  <c r="S120" i="1" a="1"/>
  <c r="S120" i="1" s="1"/>
  <c r="S121" i="1" a="1"/>
  <c r="S121" i="1" s="1"/>
  <c r="S122" i="1" a="1"/>
  <c r="S122" i="1" s="1"/>
  <c r="S123" i="1" a="1"/>
  <c r="S123" i="1" s="1"/>
  <c r="S124" i="1" a="1"/>
  <c r="S124" i="1" s="1"/>
  <c r="S125" i="1" a="1"/>
  <c r="S125" i="1" s="1"/>
  <c r="S126" i="1" a="1"/>
  <c r="S126" i="1" s="1"/>
  <c r="S127" i="1" a="1"/>
  <c r="S127" i="1" s="1"/>
  <c r="S128" i="1" a="1"/>
  <c r="S128" i="1" s="1"/>
  <c r="S129" i="1" a="1"/>
  <c r="S129" i="1" s="1"/>
  <c r="S130" i="1" a="1"/>
  <c r="S130" i="1" s="1"/>
  <c r="S131" i="1" a="1"/>
  <c r="S131" i="1" s="1"/>
  <c r="S132" i="1" a="1"/>
  <c r="S132" i="1" s="1"/>
  <c r="S133" i="1" a="1"/>
  <c r="S133" i="1" s="1"/>
  <c r="S134" i="1" a="1"/>
  <c r="S134" i="1" s="1"/>
  <c r="S135" i="1" a="1"/>
  <c r="S135" i="1" s="1"/>
  <c r="S136" i="1" a="1"/>
  <c r="S136" i="1" s="1"/>
  <c r="S137" i="1" a="1"/>
  <c r="S137" i="1" s="1"/>
  <c r="S138" i="1" a="1"/>
  <c r="S138" i="1" s="1"/>
  <c r="S139" i="1" a="1"/>
  <c r="S139" i="1" s="1"/>
  <c r="S140" i="1" a="1"/>
  <c r="S140" i="1" s="1"/>
  <c r="S141" i="1" a="1"/>
  <c r="S141" i="1" s="1"/>
  <c r="W2" i="1" a="1"/>
  <c r="W2" i="1" s="1"/>
  <c r="P20" i="2" a="1"/>
  <c r="P20" i="2" s="1"/>
  <c r="O20" i="2" a="1"/>
  <c r="O20" i="2" s="1"/>
  <c r="K20" i="2" a="1"/>
  <c r="K20" i="2" s="1"/>
  <c r="B8" i="2"/>
  <c r="A8" i="2"/>
  <c r="B5"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<sst xmlns="http://schemas.openxmlformats.org/spreadsheetml/2006/main" count="1562" uniqueCount="131">
  <si>
    <t>Year</t>
  </si>
  <si>
    <t>Month</t>
  </si>
  <si>
    <t>Hotel Name</t>
  </si>
  <si>
    <t>Country</t>
  </si>
  <si>
    <t>City</t>
  </si>
  <si>
    <t>Customer ID</t>
  </si>
  <si>
    <t>Customer Age</t>
  </si>
  <si>
    <t>Customer Gender</t>
  </si>
  <si>
    <t>Customer Type</t>
  </si>
  <si>
    <t>Booking Date</t>
  </si>
  <si>
    <t>Room Type</t>
  </si>
  <si>
    <t>Booking Status</t>
  </si>
  <si>
    <t>Room Booked</t>
  </si>
  <si>
    <t>Room Available</t>
  </si>
  <si>
    <t>Price</t>
  </si>
  <si>
    <t>Payment Mode</t>
  </si>
  <si>
    <t>Total Revenue</t>
  </si>
  <si>
    <t>Profit</t>
  </si>
  <si>
    <t>Jan</t>
  </si>
  <si>
    <t>Opera House</t>
  </si>
  <si>
    <t>Australia</t>
  </si>
  <si>
    <t>Sydney</t>
  </si>
  <si>
    <t>CID00</t>
  </si>
  <si>
    <t>Female</t>
  </si>
  <si>
    <t>Existing</t>
  </si>
  <si>
    <t>Business Class</t>
  </si>
  <si>
    <t>Cancelled</t>
  </si>
  <si>
    <t>Online</t>
  </si>
  <si>
    <t>Apr</t>
  </si>
  <si>
    <t>Hames Palace</t>
  </si>
  <si>
    <t>United Kingdom</t>
  </si>
  <si>
    <t>London</t>
  </si>
  <si>
    <t>CID01</t>
  </si>
  <si>
    <t>Male</t>
  </si>
  <si>
    <t>Pending</t>
  </si>
  <si>
    <t>Credit Card</t>
  </si>
  <si>
    <t>Jun</t>
  </si>
  <si>
    <t>Marine Resort</t>
  </si>
  <si>
    <t>India</t>
  </si>
  <si>
    <t>Mumbai</t>
  </si>
  <si>
    <t>CID03</t>
  </si>
  <si>
    <t>New</t>
  </si>
  <si>
    <t>Single</t>
  </si>
  <si>
    <t>Confirmed</t>
  </si>
  <si>
    <t>Oct</t>
  </si>
  <si>
    <t>CID08</t>
  </si>
  <si>
    <t>Super Luxury</t>
  </si>
  <si>
    <t>Dec</t>
  </si>
  <si>
    <t>CID09</t>
  </si>
  <si>
    <t>Sharing</t>
  </si>
  <si>
    <t>Cash</t>
  </si>
  <si>
    <t>Sep</t>
  </si>
  <si>
    <t>CID12</t>
  </si>
  <si>
    <t>Mar</t>
  </si>
  <si>
    <t>CID14</t>
  </si>
  <si>
    <t>Aug</t>
  </si>
  <si>
    <t>CID15</t>
  </si>
  <si>
    <t>May</t>
  </si>
  <si>
    <t>CID16</t>
  </si>
  <si>
    <t>Empire Grand</t>
  </si>
  <si>
    <t>United States</t>
  </si>
  <si>
    <t>New York</t>
  </si>
  <si>
    <t>CID17</t>
  </si>
  <si>
    <t>Debit Card</t>
  </si>
  <si>
    <t>CID23</t>
  </si>
  <si>
    <t>Regular</t>
  </si>
  <si>
    <t>CID24</t>
  </si>
  <si>
    <t>CID26</t>
  </si>
  <si>
    <t>Delux</t>
  </si>
  <si>
    <t>Nov</t>
  </si>
  <si>
    <t>Palace Inn</t>
  </si>
  <si>
    <t>United Arab Emirates</t>
  </si>
  <si>
    <t>Abu Dhabi</t>
  </si>
  <si>
    <t>CID27</t>
  </si>
  <si>
    <t>CID33</t>
  </si>
  <si>
    <t>CID36</t>
  </si>
  <si>
    <t>Jul</t>
  </si>
  <si>
    <t>CID38</t>
  </si>
  <si>
    <t>CID39</t>
  </si>
  <si>
    <t>CID43</t>
  </si>
  <si>
    <t>Luxury</t>
  </si>
  <si>
    <t>CID44</t>
  </si>
  <si>
    <t>CID45</t>
  </si>
  <si>
    <t>CID51</t>
  </si>
  <si>
    <t>CID52</t>
  </si>
  <si>
    <t>CID57</t>
  </si>
  <si>
    <t>CID58</t>
  </si>
  <si>
    <t>View Hotel</t>
  </si>
  <si>
    <t>CID60</t>
  </si>
  <si>
    <t>CID61</t>
  </si>
  <si>
    <t>CID63</t>
  </si>
  <si>
    <t>Inn Eve</t>
  </si>
  <si>
    <t>Italy</t>
  </si>
  <si>
    <t>Rome</t>
  </si>
  <si>
    <t>Hotel Sunshine</t>
  </si>
  <si>
    <t>Feb</t>
  </si>
  <si>
    <t>Bangalore</t>
  </si>
  <si>
    <t>Melbourne</t>
  </si>
  <si>
    <t>Milan</t>
  </si>
  <si>
    <t>Los Angeles</t>
  </si>
  <si>
    <t>Chicago</t>
  </si>
  <si>
    <t>Birmingham</t>
  </si>
  <si>
    <t>Row Labels</t>
  </si>
  <si>
    <t>Count of Hotel Name</t>
  </si>
  <si>
    <t>Sum of Room Booked</t>
  </si>
  <si>
    <t>Sum of Room Available</t>
  </si>
  <si>
    <t>Hotel Room Available</t>
  </si>
  <si>
    <t>Hotel Room Booked</t>
  </si>
  <si>
    <t>Hotel Room</t>
  </si>
  <si>
    <t>Sum of Total Revenue</t>
  </si>
  <si>
    <t>Sum of Profit</t>
  </si>
  <si>
    <t>Revenue &amp; Profit by Month</t>
  </si>
  <si>
    <t>Room Available by City</t>
  </si>
  <si>
    <t>ID</t>
  </si>
  <si>
    <t>Room Booked In Country</t>
  </si>
  <si>
    <t>Count of Customer ID</t>
  </si>
  <si>
    <t>Type</t>
  </si>
  <si>
    <t>Count of Customer ID2</t>
  </si>
  <si>
    <t>Room Available &amp; Room Booked by Room Type</t>
  </si>
  <si>
    <t>Total County</t>
  </si>
  <si>
    <t>Total City</t>
  </si>
  <si>
    <t>Total</t>
  </si>
  <si>
    <t>Total Tranasction</t>
  </si>
  <si>
    <t>Total Hotel Room</t>
  </si>
  <si>
    <t>AUS</t>
  </si>
  <si>
    <t>IND</t>
  </si>
  <si>
    <t>ITA</t>
  </si>
  <si>
    <t>UK</t>
  </si>
  <si>
    <t>USA</t>
  </si>
  <si>
    <t>UAE</t>
  </si>
  <si>
    <t>Country ShortForm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</si>
</sst>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quot;K&quot;"/>
    <numFmt numFmtId="165" formatCode="&quot;$&quot;\ 0.0,,&quot;M&quot;"/>
    <numFmt numFmtId="166" formatCode="&quot;$&quot;\ 0,,&quot;M&quot;"/>
  </numFmts>
  <fonts count="8" x14ac:knownFonts="1">
    <font>
      <sz val="11"/>
      <color theme="1"/>
      <name val="Aptos Narrow"/>
      <family val="2"/>
      <scheme val="minor"/>
    </font>
    <font>
      <sz val="11"/>
      <color theme="1"/>
      <name val="Calibri"/>
      <family val="2"/>
    </font>
    <font>
      <sz val="12"/>
      <color theme="1"/>
      <name val="Calibri"/>
      <family val="2"/>
    </font>
    <font>
      <sz val="12"/>
      <color theme="1"/>
      <name val="Aptos Narrow"/>
      <family val="2"/>
      <scheme val="minor"/>
    </font>
    <font>
      <b/>
      <sz val="14"/>
      <color rgb="FFFF0000"/>
      <name val="Aptos Narrow"/>
      <family val="2"/>
      <scheme val="minor"/>
    </font>
    <font>
      <b/>
      <sz val="14"/>
      <color theme="1"/>
      <name val="Aptos Narrow"/>
      <family val="2"/>
      <scheme val="minor"/>
    </font>
    <font>
      <b/>
      <sz val="24"/>
      <color theme="1"/>
      <name val="Aptos Narrow"/>
      <family val="2"/>
      <scheme val="minor"/>
    </font>
    <font>
      <b/>
      <sz val="14"/>
      <color rgb="FF002060"/>
      <name val="Aptos Narrow"/>
      <family val="2"/>
      <scheme val="minor"/>
    </font>
  </fonts>
  <fills count="4">
    <fill>
      <patternFill patternType="none"/>
    </fill>
    <fill>
      <patternFill patternType="gray125"/>
    </fill>
    <fill>
      <patternFill patternType="solid">
        <fgColor rgb="FF0070C0"/>
        <bgColor indexed="64"/>
      </patternFill>
    </fill>
    <fill>
      <patternFill patternType="solid">
        <fgColor rgb="FFFFFF00"/>
        <bgColor indexed="64"/>
      </patternFill>
    </fill>
  </fills>
  <borders count="7">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1" fillId="0" borderId="0" xfId="0" applyFont="1"/>
    <xf numFmtId="14" fontId="1" fillId="0" borderId="0" xfId="0" applyNumberFormat="1" applyFont="1"/>
    <xf numFmtId="0" fontId="2" fillId="0" borderId="0" xfId="0" applyFont="1" applyAlignment="1">
      <alignment horizontal="center" wrapText="1"/>
    </xf>
    <xf numFmtId="0" fontId="3" fillId="0" borderId="0" xfId="0" applyFont="1" applyAlignment="1">
      <alignment horizontal="center"/>
    </xf>
    <xf numFmtId="164" fontId="2" fillId="0" borderId="0" xfId="0" applyNumberFormat="1" applyFont="1" applyAlignment="1">
      <alignment horizontal="center" wrapText="1"/>
    </xf>
    <xf numFmtId="164" fontId="1" fillId="0" borderId="0" xfId="0" applyNumberFormat="1" applyFont="1"/>
    <xf numFmtId="164" fontId="0" fillId="0" borderId="0" xfId="0" applyNumberFormat="1"/>
    <xf numFmtId="0" fontId="0" fillId="0" borderId="0" xfId="0" applyNumberFormat="1"/>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166" fontId="0" fillId="0" borderId="0" xfId="0" applyNumberFormat="1"/>
    <xf numFmtId="0" fontId="6" fillId="3" borderId="0" xfId="0" applyFont="1" applyFill="1" applyAlignment="1">
      <alignment horizontal="center" vertical="center"/>
    </xf>
    <xf numFmtId="0" fontId="4" fillId="0" borderId="1" xfId="0" applyFont="1" applyBorder="1" applyAlignment="1">
      <alignment horizontal="center"/>
    </xf>
    <xf numFmtId="0" fontId="6" fillId="3" borderId="0" xfId="0" applyFont="1" applyFill="1" applyAlignment="1">
      <alignment horizont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5" xfId="0" applyFont="1" applyBorder="1" applyAlignment="1">
      <alignment horizontal="left" vertical="center"/>
    </xf>
    <xf numFmtId="0" fontId="7" fillId="0" borderId="1" xfId="0" applyFont="1" applyBorder="1" applyAlignment="1">
      <alignment horizontal="left" vertical="center"/>
    </xf>
  </cellXfs>
  <cellStyles count="1">
    <cellStyle name="Normal" xfId="0" builtinId="0"/>
  </cellStyles>
  <dxfs count="31">
    <dxf>
      <numFmt numFmtId="0" formatCode="General"/>
    </dxf>
    <dxf>
      <numFmt numFmtId="166" formatCode="&quot;$&quot;\ 0,,&quot;M&quot;"/>
    </dxf>
    <dxf>
      <numFmt numFmtId="1" formatCode="0"/>
    </dxf>
    <dxf>
      <numFmt numFmtId="0" formatCode="General"/>
    </dxf>
    <dxf>
      <numFmt numFmtId="165" formatCode="&quot;$&quot;\ 0.0,,&quot;M&quot;"/>
    </dxf>
    <dxf>
      <numFmt numFmtId="1" formatCode="0"/>
    </dxf>
    <dxf>
      <numFmt numFmtId="0" formatCode="General"/>
    </dxf>
    <dxf>
      <numFmt numFmtId="0" formatCode="General"/>
    </dxf>
    <dxf>
      <numFmt numFmtId="13" formatCode="0%"/>
    </dxf>
    <dxf>
      <numFmt numFmtId="0" formatCode="General"/>
    </dxf>
    <dxf>
      <numFmt numFmtId="0" formatCode="General"/>
    </dxf>
    <dxf>
      <font>
        <b val="0"/>
        <i val="0"/>
        <strike val="0"/>
        <condense val="0"/>
        <extend val="0"/>
        <outline val="0"/>
        <shadow val="0"/>
        <u val="none"/>
        <vertAlign val="baseline"/>
        <sz val="11"/>
        <color theme="1"/>
        <name val="Calibri"/>
        <family val="2"/>
        <scheme val="none"/>
      </font>
      <numFmt numFmtId="164" formatCode="&quot;$&quot;\ 0.0,&quot;K&quot;"/>
    </dxf>
    <dxf>
      <font>
        <b val="0"/>
        <i val="0"/>
        <strike val="0"/>
        <condense val="0"/>
        <extend val="0"/>
        <outline val="0"/>
        <shadow val="0"/>
        <u val="none"/>
        <vertAlign val="baseline"/>
        <sz val="11"/>
        <color theme="1"/>
        <name val="Calibri"/>
        <family val="2"/>
        <scheme val="none"/>
      </font>
      <numFmt numFmtId="164" formatCode="&quot;$&quot;\ 0.0,&quot;K&quo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64" formatCode="&quot;$&quot;\ 0.0,&quot;K&quo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numFmt numFmtId="19" formatCode="dd/m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auto="1"/>
        </patternFill>
      </fill>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auto="1"/>
        </patternFill>
      </fill>
    </dxf>
    <dxf>
      <font>
        <b val="0"/>
        <i val="0"/>
        <strike val="0"/>
        <condense val="0"/>
        <extend val="0"/>
        <outline val="0"/>
        <shadow val="0"/>
        <u val="none"/>
        <vertAlign val="baseline"/>
        <sz val="12"/>
        <color theme="1"/>
        <name val="Calibri"/>
        <family val="2"/>
        <scheme val="none"/>
      </font>
      <alignment horizontal="center" vertical="bottom" textRotation="0" wrapText="1" indent="0" justifyLastLine="0" shrinkToFit="0" readingOrder="0"/>
    </dxf>
    <dxf>
      <font>
        <b/>
        <i val="0"/>
        <color theme="0"/>
      </font>
      <fill>
        <patternFill>
          <bgColor rgb="FF002060"/>
        </patternFill>
      </fill>
      <border>
        <left style="thin">
          <color theme="0"/>
        </left>
        <right style="thin">
          <color theme="0"/>
        </right>
        <top style="thin">
          <color theme="0"/>
        </top>
        <bottom style="thin">
          <color theme="0"/>
        </bottom>
      </border>
    </dxf>
  </dxfs>
  <tableStyles count="1" defaultTableStyle="TableStyleMedium2" defaultPivotStyle="PivotStyleLight16">
    <tableStyle name="Slicer Style 1" pivot="0" table="0" count="2" xr9:uid="{B3B5DED6-83C2-400E-8F3C-F8BB2FF55C59}">
      <tableStyleElement type="wholeTable" dxfId="30"/>
    </tableStyle>
  </tableStyles>
  <extLst>
    <ext xmlns:x14="http://schemas.microsoft.com/office/spreadsheetml/2009/9/main" uri="{46F421CA-312F-682f-3DD2-61675219B42D}">
      <x14:dxfs count="1">
        <dxf>
          <font>
            <b/>
            <i val="0"/>
            <color rgb="FF002060"/>
          </font>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spc="0" baseline="0">
                <a:solidFill>
                  <a:srgbClr val="002060"/>
                </a:solidFill>
                <a:effectLst/>
                <a:latin typeface="Aptos Narrow" panose="02110004020202020204"/>
                <a:ea typeface="Calibri" panose="020F0502020204030204" pitchFamily="34" charset="0"/>
                <a:cs typeface="Calibri" panose="020F0502020204030204" pitchFamily="34" charset="0"/>
              </a:defRPr>
            </a:pPr>
            <a:r>
              <a:rPr lang="en-US" sz="1800" b="1" i="0" u="none" strike="noStrike" baseline="0" dirty="0">
                <a:solidFill>
                  <a:srgbClr val="002060"/>
                </a:solidFill>
                <a:effectLst/>
                <a:latin typeface="Aptos Narrow" panose="02110004020202020204"/>
                <a:ea typeface="Calibri" panose="020F0502020204030204" pitchFamily="34" charset="0"/>
                <a:cs typeface="Calibri" panose="020F0502020204030204" pitchFamily="34" charset="0"/>
              </a:rPr>
              <a:t>Profit By Months</a:t>
            </a:r>
          </a:p>
        </c:rich>
      </c:tx>
      <c:overlay val="0"/>
      <c:spPr>
        <a:noFill/>
        <a:ln>
          <a:noFill/>
        </a:ln>
        <a:effectLst/>
      </c:spPr>
      <c:txPr>
        <a:bodyPr rot="0" spcFirstLastPara="1" vertOverflow="ellipsis" vert="horz" wrap="square" anchor="ctr" anchorCtr="1"/>
        <a:lstStyle/>
        <a:p>
          <a:pPr>
            <a:defRPr lang="en-US" sz="1800" b="1" i="0" u="none" strike="noStrike" kern="1200" spc="0" baseline="0">
              <a:solidFill>
                <a:srgbClr val="002060"/>
              </a:solidFill>
              <a:effectLst/>
              <a:latin typeface="Aptos Narrow" panose="02110004020202020204"/>
              <a:ea typeface="Calibri" panose="020F0502020204030204" pitchFamily="34" charset="0"/>
              <a:cs typeface="Calibri" panose="020F0502020204030204" pitchFamily="34" charset="0"/>
            </a:defRPr>
          </a:pPr>
          <a:endParaRPr lang="en-US"/>
        </a:p>
      </c:txPr>
    </c:title>
    <c:autoTitleDeleted val="0"/>
    <c:plotArea>
      <c:layout/>
      <c:lineChart>
        <c:grouping val="standard"/>
        <c:varyColors val="0"/>
        <c:ser>
          <c:idx val="0"/>
          <c:order val="0"/>
          <c:spPr>
            <a:ln w="38100" cap="rnd">
              <a:solidFill>
                <a:srgbClr val="002060"/>
              </a:solidFill>
              <a:round/>
            </a:ln>
            <a:effectLst/>
          </c:spPr>
          <c:marker>
            <c:symbol val="none"/>
          </c:marker>
          <c:dLbls>
            <c:dLbl>
              <c:idx val="6"/>
              <c:layout>
                <c:manualLayout>
                  <c:x val="8.0012455177946185E-3"/>
                  <c:y val="-3.06416718830649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01-4B33-8B6A-10EC4BB85272}"/>
                </c:ext>
              </c:extLst>
            </c:dLbl>
            <c:dLbl>
              <c:idx val="10"/>
              <c:layout>
                <c:manualLayout>
                  <c:x val="-1.3542744180295486E-2"/>
                  <c:y val="-1.94840707673047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01-4B33-8B6A-10EC4BB8527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Pivot!$O$20:$O$31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Pivot!$P$20:$P$31</c:f>
              <c:numCache>
                <c:formatCode>"$"\ 0.0,,"M"</c:formatCode>
                <c:ptCount val="12"/>
                <c:pt idx="0">
                  <c:v>1108296.3</c:v>
                </c:pt>
                <c:pt idx="1">
                  <c:v>953682.00000000012</c:v>
                </c:pt>
                <c:pt idx="2">
                  <c:v>537684.29999999993</c:v>
                </c:pt>
                <c:pt idx="3">
                  <c:v>413129.4</c:v>
                </c:pt>
                <c:pt idx="4">
                  <c:v>916020.29999999993</c:v>
                </c:pt>
                <c:pt idx="5">
                  <c:v>1321515.5999999999</c:v>
                </c:pt>
                <c:pt idx="6">
                  <c:v>369928.80000000005</c:v>
                </c:pt>
                <c:pt idx="7">
                  <c:v>1392664.1999999997</c:v>
                </c:pt>
                <c:pt idx="8">
                  <c:v>809486.10000000009</c:v>
                </c:pt>
                <c:pt idx="9">
                  <c:v>819174.29999999993</c:v>
                </c:pt>
                <c:pt idx="10">
                  <c:v>766944.6</c:v>
                </c:pt>
                <c:pt idx="11">
                  <c:v>1645365.6</c:v>
                </c:pt>
              </c:numCache>
            </c:numRef>
          </c:val>
          <c:smooth val="0"/>
          <c:extLst>
            <c:ext xmlns:c16="http://schemas.microsoft.com/office/drawing/2014/chart" uri="{C3380CC4-5D6E-409C-BE32-E72D297353CC}">
              <c16:uniqueId val="{00000000-3401-4B33-8B6A-10EC4BB85272}"/>
            </c:ext>
          </c:extLst>
        </c:ser>
        <c:dLbls>
          <c:dLblPos val="ctr"/>
          <c:showLegendKey val="0"/>
          <c:showVal val="1"/>
          <c:showCatName val="0"/>
          <c:showSerName val="0"/>
          <c:showPercent val="0"/>
          <c:showBubbleSize val="0"/>
        </c:dLbls>
        <c:smooth val="0"/>
        <c:axId val="58625744"/>
        <c:axId val="58601744"/>
      </c:lineChart>
      <c:catAx>
        <c:axId val="5862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rgbClr val="002060"/>
                </a:solidFill>
                <a:latin typeface="Aptos Narrow" panose="02110004020202020204"/>
                <a:ea typeface="Calibri" panose="020F0502020204030204" pitchFamily="34" charset="0"/>
                <a:cs typeface="Calibri" panose="020F0502020204030204" pitchFamily="34" charset="0"/>
              </a:defRPr>
            </a:pPr>
            <a:endParaRPr lang="en-US"/>
          </a:p>
        </c:txPr>
        <c:crossAx val="58601744"/>
        <c:crosses val="autoZero"/>
        <c:auto val="1"/>
        <c:lblAlgn val="ctr"/>
        <c:lblOffset val="100"/>
        <c:noMultiLvlLbl val="0"/>
      </c:catAx>
      <c:valAx>
        <c:axId val="58601744"/>
        <c:scaling>
          <c:orientation val="minMax"/>
        </c:scaling>
        <c:delete val="1"/>
        <c:axPos val="l"/>
        <c:numFmt formatCode="&quot;$&quot;\ 0.0,,&quot;M&quot;" sourceLinked="1"/>
        <c:majorTickMark val="none"/>
        <c:minorTickMark val="none"/>
        <c:tickLblPos val="nextTo"/>
        <c:crossAx val="58625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[Hotel Booking Performance Dashboard.xlsx]Pivot!PivotTable7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Room Booked By Country</a:t>
            </a:r>
          </a:p>
        </c:rich>
      </c:tx>
      <c:layout>
        <c:manualLayout>
          <c:xMode val="edge"/>
          <c:yMode val="edge"/>
          <c:x val="0.16494453299077796"/>
          <c:y val="3.16205533596837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hade val="50000"/>
            </a:schemeClr>
          </a:solidFill>
          <a:ln>
            <a:noFill/>
          </a:ln>
          <a:effectLst>
            <a:outerShdw blurRad="254000" sx="102000" sy="102000" algn="ctr" rotWithShape="0">
              <a:prstClr val="black">
                <a:alpha val="20000"/>
              </a:prstClr>
            </a:outerShdw>
          </a:effectLst>
        </c:spPr>
      </c:pivotFmt>
      <c:pivotFmt>
        <c:idx val="10"/>
        <c:spPr>
          <a:solidFill>
            <a:schemeClr val="accent4">
              <a:shade val="70000"/>
            </a:schemeClr>
          </a:solidFill>
          <a:ln>
            <a:noFill/>
          </a:ln>
          <a:effectLst>
            <a:outerShdw blurRad="254000" sx="102000" sy="102000" algn="ctr" rotWithShape="0">
              <a:prstClr val="black">
                <a:alpha val="20000"/>
              </a:prstClr>
            </a:outerShdw>
          </a:effectLst>
        </c:spPr>
      </c:pivotFmt>
      <c:pivotFmt>
        <c:idx val="11"/>
        <c:spPr>
          <a:solidFill>
            <a:schemeClr val="accent4">
              <a:shade val="90000"/>
            </a:schemeClr>
          </a:solidFill>
          <a:ln>
            <a:noFill/>
          </a:ln>
          <a:effectLst>
            <a:outerShdw blurRad="254000" sx="102000" sy="102000" algn="ctr" rotWithShape="0">
              <a:prstClr val="black">
                <a:alpha val="20000"/>
              </a:prstClr>
            </a:outerShdw>
          </a:effectLst>
        </c:spPr>
      </c:pivotFmt>
      <c:pivotFmt>
        <c:idx val="12"/>
        <c:spPr>
          <a:solidFill>
            <a:schemeClr val="accent4"/>
          </a:solidFill>
          <a:ln>
            <a:noFill/>
          </a:ln>
          <a:effectLst>
            <a:outerShdw blurRad="254000" sx="102000" sy="102000" algn="ctr" rotWithShape="0">
              <a:prstClr val="black">
                <a:alpha val="20000"/>
              </a:prstClr>
            </a:outerShdw>
          </a:effectLst>
        </c:spPr>
      </c:pivotFmt>
      <c:pivotFmt>
        <c:idx val="13"/>
        <c:spPr>
          <a:solidFill>
            <a:schemeClr val="accent4">
              <a:tint val="70000"/>
            </a:schemeClr>
          </a:solidFill>
          <a:ln>
            <a:noFill/>
          </a:ln>
          <a:effectLst>
            <a:outerShdw blurRad="254000" sx="102000" sy="102000" algn="ctr" rotWithShape="0">
              <a:prstClr val="black">
                <a:alpha val="20000"/>
              </a:prstClr>
            </a:outerShdw>
          </a:effectLst>
        </c:spPr>
      </c:pivotFmt>
      <c:pivotFmt>
        <c:idx val="14"/>
        <c:spPr>
          <a:solidFill>
            <a:schemeClr val="accent4"/>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555589916819311"/>
          <c:y val="0.18016393442622952"/>
          <c:w val="0.57212487411883184"/>
          <c:h val="0.77065573770491802"/>
        </c:manualLayout>
      </c:layout>
      <c:pieChart>
        <c:varyColors val="1"/>
        <c:ser>
          <c:idx val="0"/>
          <c:order val="0"/>
          <c:tx>
            <c:strRef>
              <c:f>Pivot!$Y$6</c:f>
              <c:strCache>
                <c:ptCount val="1"/>
                <c:pt idx="0">
                  <c:v>Total</c:v>
                </c:pt>
              </c:strCache>
            </c:strRef>
          </c:tx>
          <c:dPt>
            <c:idx val="0"/>
            <c:bubble3D val="0"/>
            <c:spPr>
              <a:solidFill>
                <a:schemeClr val="accent4">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4A9-4683-A212-8B7521E3CD22}"/>
              </c:ext>
            </c:extLst>
          </c:dPt>
          <c:dPt>
            <c:idx val="1"/>
            <c:bubble3D val="0"/>
            <c:spPr>
              <a:solidFill>
                <a:schemeClr val="accent4">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4A9-4683-A212-8B7521E3CD22}"/>
              </c:ext>
            </c:extLst>
          </c:dPt>
          <c:dPt>
            <c:idx val="2"/>
            <c:bubble3D val="0"/>
            <c:spPr>
              <a:solidFill>
                <a:schemeClr val="accent4">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4A9-4683-A212-8B7521E3CD22}"/>
              </c:ext>
            </c:extLst>
          </c:dPt>
          <c:dPt>
            <c:idx val="3"/>
            <c:bubble3D val="0"/>
            <c:spPr>
              <a:solidFill>
                <a:schemeClr val="accent4">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4A9-4683-A212-8B7521E3CD22}"/>
              </c:ext>
            </c:extLst>
          </c:dPt>
          <c:dPt>
            <c:idx val="4"/>
            <c:bubble3D val="0"/>
            <c:spPr>
              <a:solidFill>
                <a:schemeClr val="accent4">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4A9-4683-A212-8B7521E3CD22}"/>
              </c:ext>
            </c:extLst>
          </c:dPt>
          <c:dPt>
            <c:idx val="5"/>
            <c:bubble3D val="0"/>
            <c:spPr>
              <a:solidFill>
                <a:schemeClr val="accent4">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4A9-4683-A212-8B7521E3CD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Pivot!$X$7:$X$12</c:f>
              <c:strCache>
                <c:ptCount val="6"/>
                <c:pt idx="0">
                  <c:v>AUS</c:v>
                </c:pt>
                <c:pt idx="1">
                  <c:v>IND</c:v>
                </c:pt>
                <c:pt idx="2">
                  <c:v>ITA</c:v>
                </c:pt>
                <c:pt idx="3">
                  <c:v>UAE</c:v>
                </c:pt>
                <c:pt idx="4">
                  <c:v>UK</c:v>
                </c:pt>
                <c:pt idx="5">
                  <c:v>USA</c:v>
                </c:pt>
              </c:strCache>
            </c:strRef>
          </c:cat>
          <c:val>
            <c:numRef>
              <c:f>Pivot!$Y$7:$Y$12</c:f>
              <c:numCache>
                <c:formatCode>General</c:formatCode>
                <c:ptCount val="6"/>
                <c:pt idx="0">
                  <c:v>753</c:v>
                </c:pt>
                <c:pt idx="1">
                  <c:v>889</c:v>
                </c:pt>
                <c:pt idx="2">
                  <c:v>352</c:v>
                </c:pt>
                <c:pt idx="3">
                  <c:v>421</c:v>
                </c:pt>
                <c:pt idx="4">
                  <c:v>471</c:v>
                </c:pt>
                <c:pt idx="5">
                  <c:v>484</c:v>
                </c:pt>
              </c:numCache>
            </c:numRef>
          </c:val>
          <c:extLst>
            <c:ext xmlns:c16="http://schemas.microsoft.com/office/drawing/2014/chart" uri="{C3380CC4-5D6E-409C-BE32-E72D297353CC}">
              <c16:uniqueId val="{0000000C-74A9-4683-A212-8B7521E3CD2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81489798669426139"/>
          <c:y val="0.25879566283722732"/>
          <c:w val="0.12467905258066307"/>
          <c:h val="0.5532825609913515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Performance Dashboard.xlsx]Pivot!PivotTable9</c:name>
    <c:fmtId val="6"/>
  </c:pivotSource>
  <c:chart>
    <c:title>
      <c:tx>
        <c:rich>
          <a:bodyPr rot="0" spcFirstLastPara="1" vertOverflow="ellipsis" vert="horz" wrap="square" anchor="ctr" anchorCtr="1"/>
          <a:lstStyle/>
          <a:p>
            <a:pPr>
              <a:defRPr lang="en-US" sz="1200" b="1" i="0" u="none" strike="noStrike" kern="1200" spc="0" baseline="0">
                <a:solidFill>
                  <a:srgbClr val="002060"/>
                </a:solidFill>
                <a:latin typeface="Aptos Narrow" panose="02110004020202020204"/>
                <a:ea typeface="Calibri" panose="020F0502020204030204" pitchFamily="34" charset="0"/>
                <a:cs typeface="Calibri" panose="020F0502020204030204" pitchFamily="34" charset="0"/>
              </a:defRPr>
            </a:pPr>
            <a:r>
              <a:rPr lang="en-US" sz="1200"/>
              <a:t>Room Available &amp; Room Booked</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002060"/>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Aptos Narrow" panose="0211000402020202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1"/>
          <c:tx>
            <c:strRef>
              <c:f>Pivot!$AM$6</c:f>
              <c:strCache>
                <c:ptCount val="1"/>
                <c:pt idx="0">
                  <c:v>Sum of Room Available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Aptos Narrow" panose="0211000402020202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Pivot!$AK$7:$AK$13</c:f>
              <c:strCache>
                <c:ptCount val="7"/>
                <c:pt idx="0">
                  <c:v>Sharing</c:v>
                </c:pt>
                <c:pt idx="1">
                  <c:v>Delux</c:v>
                </c:pt>
                <c:pt idx="2">
                  <c:v>Super Luxury</c:v>
                </c:pt>
                <c:pt idx="3">
                  <c:v>Business Class</c:v>
                </c:pt>
                <c:pt idx="4">
                  <c:v>Regular</c:v>
                </c:pt>
                <c:pt idx="5">
                  <c:v>Single</c:v>
                </c:pt>
                <c:pt idx="6">
                  <c:v>Luxury</c:v>
                </c:pt>
              </c:strCache>
            </c:strRef>
          </c:cat>
          <c:val>
            <c:numRef>
              <c:f>Pivot!$AM$7:$AM$13</c:f>
              <c:numCache>
                <c:formatCode>General</c:formatCode>
                <c:ptCount val="7"/>
                <c:pt idx="0">
                  <c:v>3523</c:v>
                </c:pt>
                <c:pt idx="1">
                  <c:v>2163</c:v>
                </c:pt>
                <c:pt idx="2">
                  <c:v>2154</c:v>
                </c:pt>
                <c:pt idx="3">
                  <c:v>2079</c:v>
                </c:pt>
                <c:pt idx="4">
                  <c:v>1951</c:v>
                </c:pt>
                <c:pt idx="5">
                  <c:v>1902</c:v>
                </c:pt>
                <c:pt idx="6">
                  <c:v>916</c:v>
                </c:pt>
              </c:numCache>
            </c:numRef>
          </c:val>
          <c:extLst>
            <c:ext xmlns:c16="http://schemas.microsoft.com/office/drawing/2014/chart" uri="{C3380CC4-5D6E-409C-BE32-E72D297353CC}">
              <c16:uniqueId val="{00000000-A236-4012-B5D6-FAB6A7D59A95}"/>
            </c:ext>
          </c:extLst>
        </c:ser>
        <c:dLbls>
          <c:showLegendKey val="0"/>
          <c:showVal val="0"/>
          <c:showCatName val="0"/>
          <c:showSerName val="0"/>
          <c:showPercent val="0"/>
          <c:showBubbleSize val="0"/>
        </c:dLbls>
        <c:gapWidth val="34"/>
        <c:overlap val="100"/>
        <c:axId val="49007904"/>
        <c:axId val="48999264"/>
      </c:barChart>
      <c:barChart>
        <c:barDir val="bar"/>
        <c:grouping val="clustered"/>
        <c:varyColors val="0"/>
        <c:ser>
          <c:idx val="0"/>
          <c:order val="0"/>
          <c:tx>
            <c:strRef>
              <c:f>Pivot!$AL$6</c:f>
              <c:strCache>
                <c:ptCount val="1"/>
                <c:pt idx="0">
                  <c:v>Sum of Room Booked</c:v>
                </c:pt>
              </c:strCache>
            </c:strRef>
          </c:tx>
          <c:spPr>
            <a:solidFill>
              <a:srgbClr val="002060"/>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Aptos Narrow" panose="02110004020202020204"/>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Pivot!$AK$7:$AK$13</c:f>
              <c:strCache>
                <c:ptCount val="7"/>
                <c:pt idx="0">
                  <c:v>Sharing</c:v>
                </c:pt>
                <c:pt idx="1">
                  <c:v>Delux</c:v>
                </c:pt>
                <c:pt idx="2">
                  <c:v>Super Luxury</c:v>
                </c:pt>
                <c:pt idx="3">
                  <c:v>Business Class</c:v>
                </c:pt>
                <c:pt idx="4">
                  <c:v>Regular</c:v>
                </c:pt>
                <c:pt idx="5">
                  <c:v>Single</c:v>
                </c:pt>
                <c:pt idx="6">
                  <c:v>Luxury</c:v>
                </c:pt>
              </c:strCache>
            </c:strRef>
          </c:cat>
          <c:val>
            <c:numRef>
              <c:f>Pivot!$AL$7:$AL$13</c:f>
              <c:numCache>
                <c:formatCode>General</c:formatCode>
                <c:ptCount val="7"/>
                <c:pt idx="0">
                  <c:v>850</c:v>
                </c:pt>
                <c:pt idx="1">
                  <c:v>456</c:v>
                </c:pt>
                <c:pt idx="2">
                  <c:v>412</c:v>
                </c:pt>
                <c:pt idx="3">
                  <c:v>397</c:v>
                </c:pt>
                <c:pt idx="4">
                  <c:v>413</c:v>
                </c:pt>
                <c:pt idx="5">
                  <c:v>504</c:v>
                </c:pt>
                <c:pt idx="6">
                  <c:v>338</c:v>
                </c:pt>
              </c:numCache>
            </c:numRef>
          </c:val>
          <c:extLst>
            <c:ext xmlns:c16="http://schemas.microsoft.com/office/drawing/2014/chart" uri="{C3380CC4-5D6E-409C-BE32-E72D297353CC}">
              <c16:uniqueId val="{00000001-A236-4012-B5D6-FAB6A7D59A95}"/>
            </c:ext>
          </c:extLst>
        </c:ser>
        <c:dLbls>
          <c:showLegendKey val="0"/>
          <c:showVal val="0"/>
          <c:showCatName val="0"/>
          <c:showSerName val="0"/>
          <c:showPercent val="0"/>
          <c:showBubbleSize val="0"/>
        </c:dLbls>
        <c:gapWidth val="42"/>
        <c:overlap val="100"/>
        <c:axId val="49018464"/>
        <c:axId val="49018944"/>
      </c:barChart>
      <c:catAx>
        <c:axId val="49007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baseline="0">
                <a:solidFill>
                  <a:srgbClr val="002060"/>
                </a:solidFill>
                <a:latin typeface="Aptos Narrow" panose="02110004020202020204"/>
                <a:ea typeface="Calibri" panose="020F0502020204030204" pitchFamily="34" charset="0"/>
                <a:cs typeface="Calibri" panose="020F0502020204030204" pitchFamily="34" charset="0"/>
              </a:defRPr>
            </a:pPr>
            <a:endParaRPr lang="en-US"/>
          </a:p>
        </c:txPr>
        <c:crossAx val="48999264"/>
        <c:crosses val="autoZero"/>
        <c:auto val="1"/>
        <c:lblAlgn val="ctr"/>
        <c:lblOffset val="100"/>
        <c:noMultiLvlLbl val="0"/>
      </c:catAx>
      <c:valAx>
        <c:axId val="48999264"/>
        <c:scaling>
          <c:orientation val="minMax"/>
        </c:scaling>
        <c:delete val="1"/>
        <c:axPos val="b"/>
        <c:numFmt formatCode="General" sourceLinked="1"/>
        <c:majorTickMark val="none"/>
        <c:minorTickMark val="none"/>
        <c:tickLblPos val="nextTo"/>
        <c:crossAx val="49007904"/>
        <c:crosses val="autoZero"/>
        <c:crossBetween val="between"/>
      </c:valAx>
      <c:valAx>
        <c:axId val="49018944"/>
        <c:scaling>
          <c:orientation val="minMax"/>
        </c:scaling>
        <c:delete val="1"/>
        <c:axPos val="t"/>
        <c:numFmt formatCode="General" sourceLinked="1"/>
        <c:majorTickMark val="out"/>
        <c:minorTickMark val="none"/>
        <c:tickLblPos val="nextTo"/>
        <c:crossAx val="49018464"/>
        <c:crosses val="max"/>
        <c:crossBetween val="between"/>
      </c:valAx>
      <c:catAx>
        <c:axId val="49018464"/>
        <c:scaling>
          <c:orientation val="minMax"/>
        </c:scaling>
        <c:delete val="1"/>
        <c:axPos val="l"/>
        <c:numFmt formatCode="General" sourceLinked="1"/>
        <c:majorTickMark val="out"/>
        <c:minorTickMark val="none"/>
        <c:tickLblPos val="nextTo"/>
        <c:crossAx val="49018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1" i="0" u="none" strike="noStrike" kern="1200" baseline="0">
              <a:solidFill>
                <a:srgbClr val="002060"/>
              </a:solidFill>
              <a:latin typeface="Aptos Narrow" panose="02110004020202020204"/>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1" i="0" u="none" strike="noStrike" baseline="0">
          <a:solidFill>
            <a:srgbClr val="002060"/>
          </a:solidFill>
          <a:latin typeface="Aptos Narrow" panose="0211000402020202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rgbClr val="002060"/>
                </a:solidFill>
                <a:latin typeface="Aptos Narrow" panose="02110004020202020204"/>
                <a:ea typeface="Calibri" panose="020F0502020204030204" pitchFamily="34" charset="0"/>
                <a:cs typeface="Calibri" panose="020F0502020204030204" pitchFamily="34" charset="0"/>
              </a:defRPr>
            </a:pPr>
            <a:r>
              <a:rPr lang="en-US" sz="1600" b="1" i="0" u="none" strike="noStrike" kern="1200" spc="0" baseline="0" dirty="0">
                <a:solidFill>
                  <a:srgbClr val="002060"/>
                </a:solidFill>
                <a:latin typeface="Aptos Narrow" panose="02110004020202020204"/>
                <a:ea typeface="Calibri" panose="020F0502020204030204" pitchFamily="34" charset="0"/>
                <a:cs typeface="Calibri" panose="020F0502020204030204" pitchFamily="34" charset="0"/>
              </a:rPr>
              <a:t>% Customer Type</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rgbClr val="002060"/>
              </a:solidFill>
              <a:latin typeface="Aptos Narrow" panose="02110004020202020204"/>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6534197149406957"/>
          <c:y val="0.15702020202020203"/>
          <c:w val="0.4693160570118608"/>
          <c:h val="0.70219637318062511"/>
        </c:manualLayout>
      </c:layout>
      <c:doughnutChart>
        <c:varyColors val="1"/>
        <c:ser>
          <c:idx val="0"/>
          <c:order val="0"/>
          <c:spPr>
            <a:solidFill>
              <a:srgbClr val="002060"/>
            </a:solidFill>
            <a:ln>
              <a:noFill/>
            </a:ln>
          </c:spPr>
          <c:dPt>
            <c:idx val="0"/>
            <c:bubble3D val="0"/>
            <c:spPr>
              <a:solidFill>
                <a:srgbClr val="002060"/>
              </a:solidFill>
              <a:ln w="19050">
                <a:noFill/>
              </a:ln>
              <a:effectLst/>
            </c:spPr>
            <c:extLst>
              <c:ext xmlns:c16="http://schemas.microsoft.com/office/drawing/2014/chart" uri="{C3380CC4-5D6E-409C-BE32-E72D297353CC}">
                <c16:uniqueId val="{00000001-3FDF-4F19-B6F4-EBE6E03A66D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FDF-4F19-B6F4-EBE6E03A66D2}"/>
              </c:ext>
            </c:extLst>
          </c:dPt>
          <c:dLbls>
            <c:dLbl>
              <c:idx val="1"/>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3FDF-4F19-B6F4-EBE6E03A66D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Pivot!$AF$13:$AF$14</c:f>
              <c:strCache>
                <c:ptCount val="2"/>
                <c:pt idx="0">
                  <c:v>Existing</c:v>
                </c:pt>
                <c:pt idx="1">
                  <c:v>New</c:v>
                </c:pt>
              </c:strCache>
            </c:strRef>
          </c:cat>
          <c:val>
            <c:numRef>
              <c:f>Pivot!$AG$13:$AG$14</c:f>
              <c:numCache>
                <c:formatCode>0%</c:formatCode>
                <c:ptCount val="2"/>
                <c:pt idx="0">
                  <c:v>0.6785714285714286</c:v>
                </c:pt>
                <c:pt idx="1">
                  <c:v>0.32142857142857145</c:v>
                </c:pt>
              </c:numCache>
            </c:numRef>
          </c:val>
          <c:extLst>
            <c:ext xmlns:c16="http://schemas.microsoft.com/office/drawing/2014/chart" uri="{C3380CC4-5D6E-409C-BE32-E72D297353CC}">
              <c16:uniqueId val="{00000004-3FDF-4F19-B6F4-EBE6E03A66D2}"/>
            </c:ext>
          </c:extLst>
        </c:ser>
        <c:dLbls>
          <c:showLegendKey val="0"/>
          <c:showVal val="0"/>
          <c:showCatName val="0"/>
          <c:showSerName val="0"/>
          <c:showPercent val="0"/>
          <c:showBubbleSize val="0"/>
          <c:showLeaderLines val="1"/>
        </c:dLbls>
        <c:firstSliceAng val="270"/>
        <c:holeSize val="5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rgbClr val="002060"/>
              </a:solidFill>
              <a:latin typeface="Aptos Narrow" panose="02110004020202020204"/>
              <a:ea typeface="Calibri" panose="020F0502020204030204" pitchFamily="34" charset="0"/>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b="1">
                <a:solidFill>
                  <a:srgbClr val="002060"/>
                </a:solidFill>
              </a:defRPr>
            </a:pPr>
            <a:r>
              <a:rPr lang="en-US" sz="1400" b="1" i="0" u="none" strike="noStrike" baseline="0">
                <a:solidFill>
                  <a:srgbClr val="002060"/>
                </a:solidFill>
                <a:effectLst/>
                <a:latin typeface="Aptos Narrow" panose="02110004020202020204"/>
                <a:ea typeface="Calibri" panose="020F0502020204030204" pitchFamily="34" charset="0"/>
                <a:cs typeface="Calibri" panose="020F0502020204030204" pitchFamily="34" charset="0"/>
              </a:rPr>
              <a:t>Hotel Room Booked</a:t>
            </a:r>
            <a:r>
              <a:rPr lang="en-US" b="1">
                <a:solidFill>
                  <a:srgbClr val="002060"/>
                </a:solidFill>
              </a:rPr>
              <a:t> </a:t>
            </a:r>
            <a:endParaRPr lang="en-US" sz="1400" b="1" i="0" u="none" strike="noStrike" baseline="0">
              <a:solidFill>
                <a:srgbClr val="002060"/>
              </a:solidFill>
              <a:latin typeface="Aptos Narrow" panose="02110004020202020204"/>
            </a:endParaRPr>
          </a:p>
        </cx:rich>
      </cx:tx>
    </cx:title>
    <cx:plotArea>
      <cx:plotAreaRegion>
        <cx:series layoutId="funnel" uniqueId="{071627B7-2F96-4A6C-90F7-33E10FC6BE8F}">
          <cx:spPr>
            <a:solidFill>
              <a:srgbClr val="002060"/>
            </a:solidFill>
          </cx:spPr>
          <cx:dataLabels>
            <cx:txPr>
              <a:bodyPr spcFirstLastPara="1" vertOverflow="ellipsis" horzOverflow="overflow" wrap="square" lIns="0" tIns="0" rIns="0" bIns="0" anchor="ctr" anchorCtr="1"/>
              <a:lstStyle/>
              <a:p>
                <a:pPr algn="ctr" rtl="0">
                  <a:defRPr sz="1200" b="1">
                    <a:solidFill>
                      <a:schemeClr val="bg1"/>
                    </a:solidFill>
                  </a:defRPr>
                </a:pPr>
                <a:endParaRPr lang="en-US" sz="1200" b="1"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rgbClr val="002060"/>
                </a:solidFill>
              </a:defRPr>
            </a:pPr>
            <a:endParaRPr lang="en-US" sz="900" b="1" i="0" u="none" strike="noStrike" baseline="0">
              <a:solidFill>
                <a:srgbClr val="002060"/>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kern="1200" spc="0" baseline="0">
                <a:solidFill>
                  <a:srgbClr val="002060"/>
                </a:solidFill>
                <a:latin typeface="Aptos Narrow" panose="02110004020202020204"/>
                <a:ea typeface="Calibri" panose="020F0502020204030204" pitchFamily="34" charset="0"/>
                <a:cs typeface="Calibri" panose="020F0502020204030204" pitchFamily="34" charset="0"/>
              </a:rPr>
              <a:t>Room</a:t>
            </a:r>
            <a:r>
              <a:rPr lang="en-US" sz="1600" b="1" i="0" u="none" strike="noStrike" baseline="0">
                <a:solidFill>
                  <a:srgbClr val="002060"/>
                </a:solidFill>
                <a:effectLst/>
                <a:latin typeface="Aptos Narrow" panose="02110004020202020204"/>
                <a:ea typeface="Calibri" panose="020F0502020204030204" pitchFamily="34" charset="0"/>
                <a:cs typeface="Calibri" panose="020F0502020204030204" pitchFamily="34" charset="0"/>
              </a:rPr>
              <a:t> </a:t>
            </a:r>
            <a:r>
              <a:rPr lang="en-US" sz="1600" b="1" i="0" u="none" strike="noStrike" kern="1200" spc="0" baseline="0">
                <a:solidFill>
                  <a:srgbClr val="002060"/>
                </a:solidFill>
                <a:latin typeface="Aptos Narrow" panose="02110004020202020204"/>
                <a:ea typeface="Calibri" panose="020F0502020204030204" pitchFamily="34" charset="0"/>
                <a:cs typeface="Calibri" panose="020F0502020204030204" pitchFamily="34" charset="0"/>
              </a:rPr>
              <a:t>Available</a:t>
            </a:r>
            <a:r>
              <a:rPr lang="en-US" sz="1600" b="1" i="0" u="none" strike="noStrike" baseline="0">
                <a:solidFill>
                  <a:srgbClr val="002060"/>
                </a:solidFill>
                <a:effectLst/>
                <a:latin typeface="Aptos Narrow" panose="02110004020202020204"/>
                <a:ea typeface="Calibri" panose="020F0502020204030204" pitchFamily="34" charset="0"/>
                <a:cs typeface="Calibri" panose="020F0502020204030204" pitchFamily="34" charset="0"/>
              </a:rPr>
              <a:t> by City</a:t>
            </a:r>
            <a:r>
              <a:rPr lang="en-US" sz="1600" b="1">
                <a:solidFill>
                  <a:srgbClr val="002060"/>
                </a:solidFill>
              </a:rPr>
              <a:t> </a:t>
            </a:r>
            <a:endParaRPr lang="en-US" sz="1600" b="1" i="0" u="none" strike="noStrike" baseline="0">
              <a:solidFill>
                <a:srgbClr val="002060"/>
              </a:solidFill>
              <a:latin typeface="Aptos Narrow" panose="02110004020202020204"/>
            </a:endParaRPr>
          </a:p>
        </cx:rich>
      </cx:tx>
    </cx:title>
    <cx:plotArea>
      <cx:plotAreaRegion>
        <cx:series layoutId="clusteredColumn" uniqueId="{ACAECF66-F6FA-46FC-BB2A-5520A87F7540}">
          <cx:spPr>
            <a:solidFill>
              <a:srgbClr val="002060"/>
            </a:solidFill>
          </cx:spPr>
          <cx:dataLabels pos="inBase">
            <cx:txPr>
              <a:bodyPr spcFirstLastPara="1" vertOverflow="ellipsis" horzOverflow="overflow" wrap="square" lIns="0" tIns="0" rIns="0" bIns="0" anchor="ctr" anchorCtr="1"/>
              <a:lstStyle/>
              <a:p>
                <a:pPr algn="ctr" rtl="0">
                  <a:defRPr sz="900"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separator>, </cx:separator>
          </cx:dataLabels>
          <cx:dataId val="0"/>
          <cx:layoutPr>
            <cx:aggregation/>
          </cx:layoutPr>
          <cx:axisId val="1"/>
        </cx:series>
        <cx:series layoutId="paretoLine" ownerIdx="0" uniqueId="{0632283C-06CD-4ADB-9673-86093FE71325}">
          <cx:spPr>
            <a:ln w="38100">
              <a:solidFill>
                <a:schemeClr val="tx1"/>
              </a:solidFill>
            </a:ln>
          </cx:spPr>
          <cx:axisId val="2"/>
        </cx:series>
      </cx:plotAreaRegion>
      <cx:axis id="0">
        <cx:catScaling gapWidth="0"/>
        <cx:tickLabels/>
        <cx:txPr>
          <a:bodyPr spcFirstLastPara="1" vertOverflow="ellipsis" horzOverflow="overflow" wrap="square" lIns="0" tIns="0" rIns="0" bIns="0" anchor="ctr" anchorCtr="1"/>
          <a:lstStyle/>
          <a:p>
            <a:pPr algn="ctr" rtl="0">
              <a:defRPr>
                <a:solidFill>
                  <a:srgbClr val="002060"/>
                </a:solidFill>
              </a:defRPr>
            </a:pPr>
            <a:endParaRPr lang="en-US" sz="900" b="0" i="0" u="none" strike="noStrike" baseline="0">
              <a:solidFill>
                <a:srgbClr val="002060"/>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2">
        <cx:valScaling max="1" min="0"/>
        <cx:units unit="percentage"/>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2.xml"/><Relationship Id="rId21" Type="http://schemas.openxmlformats.org/officeDocument/2006/relationships/image" Target="../media/image15.png"/><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1.xml"/><Relationship Id="rId16" Type="http://schemas.openxmlformats.org/officeDocument/2006/relationships/image" Target="../media/image10.svg"/><Relationship Id="rId20" Type="http://schemas.openxmlformats.org/officeDocument/2006/relationships/image" Target="../media/image14.svg"/><Relationship Id="rId1" Type="http://schemas.microsoft.com/office/2014/relationships/chartEx" Target="../charts/chartEx1.xml"/><Relationship Id="rId6" Type="http://schemas.openxmlformats.org/officeDocument/2006/relationships/chart" Target="../charts/chart4.xml"/><Relationship Id="rId11" Type="http://schemas.openxmlformats.org/officeDocument/2006/relationships/image" Target="../media/image5.png"/><Relationship Id="rId5" Type="http://schemas.microsoft.com/office/2014/relationships/chartEx" Target="../charts/chartEx2.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38101</xdr:colOff>
      <xdr:row>0</xdr:row>
      <xdr:rowOff>57150</xdr:rowOff>
    </xdr:from>
    <xdr:to>
      <xdr:col>15</xdr:col>
      <xdr:colOff>28575</xdr:colOff>
      <xdr:row>4</xdr:row>
      <xdr:rowOff>47625</xdr:rowOff>
    </xdr:to>
    <xdr:sp macro="" textlink="">
      <xdr:nvSpPr>
        <xdr:cNvPr id="2" name="Rectangle: Rounded Corners 1">
          <a:extLst>
            <a:ext uri="{FF2B5EF4-FFF2-40B4-BE49-F238E27FC236}">
              <a16:creationId xmlns:a16="http://schemas.microsoft.com/office/drawing/2014/main" id="{55916D7E-D573-17AC-E314-5583CA7F7AA7}"/>
            </a:ext>
          </a:extLst>
        </xdr:cNvPr>
        <xdr:cNvSpPr/>
      </xdr:nvSpPr>
      <xdr:spPr>
        <a:xfrm>
          <a:off x="38101" y="57150"/>
          <a:ext cx="9134474" cy="75247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190499</xdr:colOff>
      <xdr:row>7</xdr:row>
      <xdr:rowOff>95249</xdr:rowOff>
    </xdr:from>
    <xdr:to>
      <xdr:col>7</xdr:col>
      <xdr:colOff>352424</xdr:colOff>
      <xdr:row>19</xdr:row>
      <xdr:rowOff>142875</xdr:rowOff>
    </xdr:to>
    <xdr:sp macro="" textlink="">
      <xdr:nvSpPr>
        <xdr:cNvPr id="4" name="Rectangle: Rounded Corners 3">
          <a:extLst>
            <a:ext uri="{FF2B5EF4-FFF2-40B4-BE49-F238E27FC236}">
              <a16:creationId xmlns:a16="http://schemas.microsoft.com/office/drawing/2014/main" id="{0D8A7AF5-AFC5-D334-53A5-EB26506BA1EE}"/>
            </a:ext>
          </a:extLst>
        </xdr:cNvPr>
        <xdr:cNvSpPr/>
      </xdr:nvSpPr>
      <xdr:spPr>
        <a:xfrm>
          <a:off x="1409699" y="666749"/>
          <a:ext cx="3209925" cy="2333626"/>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180975</xdr:colOff>
      <xdr:row>7</xdr:row>
      <xdr:rowOff>66674</xdr:rowOff>
    </xdr:from>
    <xdr:to>
      <xdr:col>7</xdr:col>
      <xdr:colOff>333375</xdr:colOff>
      <xdr:row>19</xdr:row>
      <xdr:rowOff>171449</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8CE46050-DA4F-4D38-9AD2-40FD09AC04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00175" y="1343024"/>
              <a:ext cx="3200400" cy="2390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419101</xdr:colOff>
      <xdr:row>7</xdr:row>
      <xdr:rowOff>142875</xdr:rowOff>
    </xdr:from>
    <xdr:to>
      <xdr:col>15</xdr:col>
      <xdr:colOff>447675</xdr:colOff>
      <xdr:row>19</xdr:row>
      <xdr:rowOff>133350</xdr:rowOff>
    </xdr:to>
    <xdr:graphicFrame macro="">
      <xdr:nvGraphicFramePr>
        <xdr:cNvPr id="6" name="Chart 5">
          <a:extLst>
            <a:ext uri="{FF2B5EF4-FFF2-40B4-BE49-F238E27FC236}">
              <a16:creationId xmlns:a16="http://schemas.microsoft.com/office/drawing/2014/main" id="{08C6BD27-A2C6-4AED-B8E5-F69ED939A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447675</xdr:colOff>
      <xdr:row>7</xdr:row>
      <xdr:rowOff>114299</xdr:rowOff>
    </xdr:from>
    <xdr:to>
      <xdr:col>15</xdr:col>
      <xdr:colOff>457201</xdr:colOff>
      <xdr:row>19</xdr:row>
      <xdr:rowOff>161925</xdr:rowOff>
    </xdr:to>
    <xdr:sp macro="" textlink="">
      <xdr:nvSpPr>
        <xdr:cNvPr id="7" name="Rectangle: Rounded Corners 6">
          <a:extLst>
            <a:ext uri="{FF2B5EF4-FFF2-40B4-BE49-F238E27FC236}">
              <a16:creationId xmlns:a16="http://schemas.microsoft.com/office/drawing/2014/main" id="{CBC97308-407F-D4C7-689F-08D10178860F}"/>
            </a:ext>
          </a:extLst>
        </xdr:cNvPr>
        <xdr:cNvSpPr/>
      </xdr:nvSpPr>
      <xdr:spPr>
        <a:xfrm>
          <a:off x="4714875" y="685799"/>
          <a:ext cx="4886326" cy="2333626"/>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295275</xdr:colOff>
      <xdr:row>7</xdr:row>
      <xdr:rowOff>85725</xdr:rowOff>
    </xdr:from>
    <xdr:to>
      <xdr:col>20</xdr:col>
      <xdr:colOff>400050</xdr:colOff>
      <xdr:row>20</xdr:row>
      <xdr:rowOff>19050</xdr:rowOff>
    </xdr:to>
    <xdr:graphicFrame macro="">
      <xdr:nvGraphicFramePr>
        <xdr:cNvPr id="8" name="Chart 7">
          <a:extLst>
            <a:ext uri="{FF2B5EF4-FFF2-40B4-BE49-F238E27FC236}">
              <a16:creationId xmlns:a16="http://schemas.microsoft.com/office/drawing/2014/main" id="{0330803F-E40C-4FD2-B428-0739A8F1B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542925</xdr:colOff>
      <xdr:row>7</xdr:row>
      <xdr:rowOff>133349</xdr:rowOff>
    </xdr:from>
    <xdr:to>
      <xdr:col>20</xdr:col>
      <xdr:colOff>419100</xdr:colOff>
      <xdr:row>19</xdr:row>
      <xdr:rowOff>180975</xdr:rowOff>
    </xdr:to>
    <xdr:sp macro="" textlink="">
      <xdr:nvSpPr>
        <xdr:cNvPr id="9" name="Rectangle: Rounded Corners 8">
          <a:extLst>
            <a:ext uri="{FF2B5EF4-FFF2-40B4-BE49-F238E27FC236}">
              <a16:creationId xmlns:a16="http://schemas.microsoft.com/office/drawing/2014/main" id="{E92AF263-8C1F-61DE-DC19-F41AD9AAC8D3}"/>
            </a:ext>
          </a:extLst>
        </xdr:cNvPr>
        <xdr:cNvSpPr/>
      </xdr:nvSpPr>
      <xdr:spPr>
        <a:xfrm>
          <a:off x="9686925" y="1466849"/>
          <a:ext cx="2924175" cy="2333626"/>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0</xdr:colOff>
      <xdr:row>7</xdr:row>
      <xdr:rowOff>190499</xdr:rowOff>
    </xdr:from>
    <xdr:to>
      <xdr:col>24</xdr:col>
      <xdr:colOff>57150</xdr:colOff>
      <xdr:row>13</xdr:row>
      <xdr:rowOff>133350</xdr:rowOff>
    </xdr:to>
    <xdr:sp macro="" textlink="">
      <xdr:nvSpPr>
        <xdr:cNvPr id="10" name="Rectangle: Rounded Corners 9">
          <a:extLst>
            <a:ext uri="{FF2B5EF4-FFF2-40B4-BE49-F238E27FC236}">
              <a16:creationId xmlns:a16="http://schemas.microsoft.com/office/drawing/2014/main" id="{0014FF83-BCEF-4BE4-9AD1-DA414C4A6A1E}"/>
            </a:ext>
          </a:extLst>
        </xdr:cNvPr>
        <xdr:cNvSpPr/>
      </xdr:nvSpPr>
      <xdr:spPr>
        <a:xfrm>
          <a:off x="12801600" y="1466849"/>
          <a:ext cx="1885950" cy="1085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200024</xdr:colOff>
      <xdr:row>20</xdr:row>
      <xdr:rowOff>28575</xdr:rowOff>
    </xdr:from>
    <xdr:to>
      <xdr:col>8</xdr:col>
      <xdr:colOff>533399</xdr:colOff>
      <xdr:row>32</xdr:row>
      <xdr:rowOff>180975</xdr:rowOff>
    </xdr:to>
    <xdr:graphicFrame macro="">
      <xdr:nvGraphicFramePr>
        <xdr:cNvPr id="11" name="Chart 10">
          <a:extLst>
            <a:ext uri="{FF2B5EF4-FFF2-40B4-BE49-F238E27FC236}">
              <a16:creationId xmlns:a16="http://schemas.microsoft.com/office/drawing/2014/main" id="{7295BB07-D34B-499B-9A81-DF5E49AB2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171449</xdr:colOff>
      <xdr:row>20</xdr:row>
      <xdr:rowOff>57149</xdr:rowOff>
    </xdr:from>
    <xdr:to>
      <xdr:col>8</xdr:col>
      <xdr:colOff>466724</xdr:colOff>
      <xdr:row>32</xdr:row>
      <xdr:rowOff>104775</xdr:rowOff>
    </xdr:to>
    <xdr:sp macro="" textlink="">
      <xdr:nvSpPr>
        <xdr:cNvPr id="13" name="Rectangle: Rounded Corners 12">
          <a:extLst>
            <a:ext uri="{FF2B5EF4-FFF2-40B4-BE49-F238E27FC236}">
              <a16:creationId xmlns:a16="http://schemas.microsoft.com/office/drawing/2014/main" id="{5EB04F48-0432-9059-26C8-2357AC76C35E}"/>
            </a:ext>
          </a:extLst>
        </xdr:cNvPr>
        <xdr:cNvSpPr/>
      </xdr:nvSpPr>
      <xdr:spPr>
        <a:xfrm>
          <a:off x="1390649" y="3867149"/>
          <a:ext cx="3952875" cy="2333626"/>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552450</xdr:colOff>
      <xdr:row>20</xdr:row>
      <xdr:rowOff>38099</xdr:rowOff>
    </xdr:from>
    <xdr:to>
      <xdr:col>16</xdr:col>
      <xdr:colOff>266700</xdr:colOff>
      <xdr:row>32</xdr:row>
      <xdr:rowOff>133350</xdr:rowOff>
    </xdr:to>
    <xdr:sp macro="" textlink="">
      <xdr:nvSpPr>
        <xdr:cNvPr id="14" name="Rectangle: Rounded Corners 13">
          <a:extLst>
            <a:ext uri="{FF2B5EF4-FFF2-40B4-BE49-F238E27FC236}">
              <a16:creationId xmlns:a16="http://schemas.microsoft.com/office/drawing/2014/main" id="{DF7D01E4-201D-0029-EE25-C3E860470E23}"/>
            </a:ext>
          </a:extLst>
        </xdr:cNvPr>
        <xdr:cNvSpPr/>
      </xdr:nvSpPr>
      <xdr:spPr>
        <a:xfrm>
          <a:off x="5429250" y="3848099"/>
          <a:ext cx="4591050" cy="2381251"/>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523875</xdr:colOff>
      <xdr:row>20</xdr:row>
      <xdr:rowOff>19051</xdr:rowOff>
    </xdr:from>
    <xdr:to>
      <xdr:col>16</xdr:col>
      <xdr:colOff>209550</xdr:colOff>
      <xdr:row>32</xdr:row>
      <xdr:rowOff>76201</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C4A8024A-A706-4B34-BCE0-C873207CB2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400675" y="3771901"/>
              <a:ext cx="4562475" cy="2343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352425</xdr:colOff>
      <xdr:row>20</xdr:row>
      <xdr:rowOff>47624</xdr:rowOff>
    </xdr:from>
    <xdr:to>
      <xdr:col>20</xdr:col>
      <xdr:colOff>504825</xdr:colOff>
      <xdr:row>32</xdr:row>
      <xdr:rowOff>142875</xdr:rowOff>
    </xdr:to>
    <xdr:sp macro="" textlink="">
      <xdr:nvSpPr>
        <xdr:cNvPr id="16" name="Rectangle: Rounded Corners 15">
          <a:extLst>
            <a:ext uri="{FF2B5EF4-FFF2-40B4-BE49-F238E27FC236}">
              <a16:creationId xmlns:a16="http://schemas.microsoft.com/office/drawing/2014/main" id="{EBEDFBB5-C8E2-EA06-3860-28B7A34F0720}"/>
            </a:ext>
          </a:extLst>
        </xdr:cNvPr>
        <xdr:cNvSpPr/>
      </xdr:nvSpPr>
      <xdr:spPr>
        <a:xfrm>
          <a:off x="10106025" y="3857624"/>
          <a:ext cx="2590800" cy="2381251"/>
        </a:xfrm>
        <a:prstGeom prst="roundRect">
          <a:avLst/>
        </a:prstGeom>
        <a:no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381000</xdr:colOff>
      <xdr:row>20</xdr:row>
      <xdr:rowOff>9525</xdr:rowOff>
    </xdr:from>
    <xdr:to>
      <xdr:col>21</xdr:col>
      <xdr:colOff>485775</xdr:colOff>
      <xdr:row>32</xdr:row>
      <xdr:rowOff>180975</xdr:rowOff>
    </xdr:to>
    <xdr:graphicFrame macro="">
      <xdr:nvGraphicFramePr>
        <xdr:cNvPr id="17" name="Chart 16">
          <a:extLst>
            <a:ext uri="{FF2B5EF4-FFF2-40B4-BE49-F238E27FC236}">
              <a16:creationId xmlns:a16="http://schemas.microsoft.com/office/drawing/2014/main" id="{DD3B2729-98F8-4CAB-A587-DD47104B6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28575</xdr:colOff>
      <xdr:row>14</xdr:row>
      <xdr:rowOff>38099</xdr:rowOff>
    </xdr:from>
    <xdr:to>
      <xdr:col>24</xdr:col>
      <xdr:colOff>85725</xdr:colOff>
      <xdr:row>19</xdr:row>
      <xdr:rowOff>171450</xdr:rowOff>
    </xdr:to>
    <xdr:sp macro="" textlink="">
      <xdr:nvSpPr>
        <xdr:cNvPr id="27" name="Rectangle: Rounded Corners 26">
          <a:extLst>
            <a:ext uri="{FF2B5EF4-FFF2-40B4-BE49-F238E27FC236}">
              <a16:creationId xmlns:a16="http://schemas.microsoft.com/office/drawing/2014/main" id="{E9A08CD8-E6A0-59BA-7E88-96626F85E10B}"/>
            </a:ext>
          </a:extLst>
        </xdr:cNvPr>
        <xdr:cNvSpPr/>
      </xdr:nvSpPr>
      <xdr:spPr>
        <a:xfrm>
          <a:off x="12830175" y="2647949"/>
          <a:ext cx="1752600" cy="1085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66675</xdr:colOff>
      <xdr:row>20</xdr:row>
      <xdr:rowOff>104774</xdr:rowOff>
    </xdr:from>
    <xdr:to>
      <xdr:col>24</xdr:col>
      <xdr:colOff>123825</xdr:colOff>
      <xdr:row>26</xdr:row>
      <xdr:rowOff>47625</xdr:rowOff>
    </xdr:to>
    <xdr:sp macro="" textlink="">
      <xdr:nvSpPr>
        <xdr:cNvPr id="28" name="Rectangle: Rounded Corners 27">
          <a:extLst>
            <a:ext uri="{FF2B5EF4-FFF2-40B4-BE49-F238E27FC236}">
              <a16:creationId xmlns:a16="http://schemas.microsoft.com/office/drawing/2014/main" id="{79DF914E-2637-2B90-69CC-B08703510D4E}"/>
            </a:ext>
          </a:extLst>
        </xdr:cNvPr>
        <xdr:cNvSpPr/>
      </xdr:nvSpPr>
      <xdr:spPr>
        <a:xfrm>
          <a:off x="12868275" y="3857624"/>
          <a:ext cx="1885950" cy="1085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85725</xdr:colOff>
      <xdr:row>27</xdr:row>
      <xdr:rowOff>19049</xdr:rowOff>
    </xdr:from>
    <xdr:to>
      <xdr:col>24</xdr:col>
      <xdr:colOff>142875</xdr:colOff>
      <xdr:row>32</xdr:row>
      <xdr:rowOff>152400</xdr:rowOff>
    </xdr:to>
    <xdr:sp macro="" textlink="">
      <xdr:nvSpPr>
        <xdr:cNvPr id="29" name="Rectangle: Rounded Corners 28">
          <a:extLst>
            <a:ext uri="{FF2B5EF4-FFF2-40B4-BE49-F238E27FC236}">
              <a16:creationId xmlns:a16="http://schemas.microsoft.com/office/drawing/2014/main" id="{54477A73-3667-728F-5107-C3E50152E279}"/>
            </a:ext>
          </a:extLst>
        </xdr:cNvPr>
        <xdr:cNvSpPr/>
      </xdr:nvSpPr>
      <xdr:spPr>
        <a:xfrm>
          <a:off x="12887325" y="5105399"/>
          <a:ext cx="1885950" cy="1085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66674</xdr:colOff>
      <xdr:row>8</xdr:row>
      <xdr:rowOff>9525</xdr:rowOff>
    </xdr:from>
    <xdr:to>
      <xdr:col>2</xdr:col>
      <xdr:colOff>114299</xdr:colOff>
      <xdr:row>14</xdr:row>
      <xdr:rowOff>28576</xdr:rowOff>
    </xdr:to>
    <xdr:sp macro="" textlink="">
      <xdr:nvSpPr>
        <xdr:cNvPr id="34" name="Rectangle: Rounded Corners 33">
          <a:extLst>
            <a:ext uri="{FF2B5EF4-FFF2-40B4-BE49-F238E27FC236}">
              <a16:creationId xmlns:a16="http://schemas.microsoft.com/office/drawing/2014/main" id="{303FE71D-E18A-4D84-8D4F-32F2A9CCA1EC}"/>
            </a:ext>
          </a:extLst>
        </xdr:cNvPr>
        <xdr:cNvSpPr/>
      </xdr:nvSpPr>
      <xdr:spPr>
        <a:xfrm>
          <a:off x="66674" y="1476375"/>
          <a:ext cx="1266825" cy="11620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66674</xdr:colOff>
      <xdr:row>14</xdr:row>
      <xdr:rowOff>95250</xdr:rowOff>
    </xdr:from>
    <xdr:to>
      <xdr:col>2</xdr:col>
      <xdr:colOff>114299</xdr:colOff>
      <xdr:row>20</xdr:row>
      <xdr:rowOff>38101</xdr:rowOff>
    </xdr:to>
    <xdr:sp macro="" textlink="">
      <xdr:nvSpPr>
        <xdr:cNvPr id="41" name="Rectangle: Rounded Corners 40">
          <a:extLst>
            <a:ext uri="{FF2B5EF4-FFF2-40B4-BE49-F238E27FC236}">
              <a16:creationId xmlns:a16="http://schemas.microsoft.com/office/drawing/2014/main" id="{F595D654-A187-488B-1FE6-AAA63F6273E3}"/>
            </a:ext>
          </a:extLst>
        </xdr:cNvPr>
        <xdr:cNvSpPr/>
      </xdr:nvSpPr>
      <xdr:spPr>
        <a:xfrm>
          <a:off x="66674" y="2705100"/>
          <a:ext cx="1266825" cy="1085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123824</xdr:colOff>
      <xdr:row>20</xdr:row>
      <xdr:rowOff>114300</xdr:rowOff>
    </xdr:from>
    <xdr:to>
      <xdr:col>2</xdr:col>
      <xdr:colOff>171449</xdr:colOff>
      <xdr:row>26</xdr:row>
      <xdr:rowOff>57151</xdr:rowOff>
    </xdr:to>
    <xdr:sp macro="" textlink="">
      <xdr:nvSpPr>
        <xdr:cNvPr id="42" name="Rectangle: Rounded Corners 41">
          <a:extLst>
            <a:ext uri="{FF2B5EF4-FFF2-40B4-BE49-F238E27FC236}">
              <a16:creationId xmlns:a16="http://schemas.microsoft.com/office/drawing/2014/main" id="{F7690D8C-4C59-EBF0-63D2-924E6D9463E8}"/>
            </a:ext>
          </a:extLst>
        </xdr:cNvPr>
        <xdr:cNvSpPr/>
      </xdr:nvSpPr>
      <xdr:spPr>
        <a:xfrm>
          <a:off x="123824" y="3867150"/>
          <a:ext cx="1266825" cy="1085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76199</xdr:colOff>
      <xdr:row>26</xdr:row>
      <xdr:rowOff>171450</xdr:rowOff>
    </xdr:from>
    <xdr:to>
      <xdr:col>2</xdr:col>
      <xdr:colOff>123824</xdr:colOff>
      <xdr:row>32</xdr:row>
      <xdr:rowOff>114301</xdr:rowOff>
    </xdr:to>
    <xdr:sp macro="" textlink="">
      <xdr:nvSpPr>
        <xdr:cNvPr id="43" name="Rectangle: Rounded Corners 42">
          <a:extLst>
            <a:ext uri="{FF2B5EF4-FFF2-40B4-BE49-F238E27FC236}">
              <a16:creationId xmlns:a16="http://schemas.microsoft.com/office/drawing/2014/main" id="{6A0F8517-4062-F6FD-B4E3-374184FFA285}"/>
            </a:ext>
          </a:extLst>
        </xdr:cNvPr>
        <xdr:cNvSpPr/>
      </xdr:nvSpPr>
      <xdr:spPr>
        <a:xfrm>
          <a:off x="76199" y="5067300"/>
          <a:ext cx="1266825" cy="1085851"/>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47625</xdr:colOff>
      <xdr:row>20</xdr:row>
      <xdr:rowOff>123825</xdr:rowOff>
    </xdr:from>
    <xdr:to>
      <xdr:col>22</xdr:col>
      <xdr:colOff>237225</xdr:colOff>
      <xdr:row>24</xdr:row>
      <xdr:rowOff>161025</xdr:rowOff>
    </xdr:to>
    <xdr:pic>
      <xdr:nvPicPr>
        <xdr:cNvPr id="66" name="Graphic 65" descr="Building with solid fill">
          <a:extLst>
            <a:ext uri="{FF2B5EF4-FFF2-40B4-BE49-F238E27FC236}">
              <a16:creationId xmlns:a16="http://schemas.microsoft.com/office/drawing/2014/main" id="{166A249B-986C-40B2-A18D-52AD944A68B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849225" y="3876675"/>
          <a:ext cx="799200" cy="799200"/>
        </a:xfrm>
        <a:prstGeom prst="rect">
          <a:avLst/>
        </a:prstGeom>
      </xdr:spPr>
    </xdr:pic>
    <xdr:clientData/>
  </xdr:twoCellAnchor>
  <xdr:twoCellAnchor editAs="oneCell">
    <xdr:from>
      <xdr:col>21</xdr:col>
      <xdr:colOff>119024</xdr:colOff>
      <xdr:row>26</xdr:row>
      <xdr:rowOff>176174</xdr:rowOff>
    </xdr:from>
    <xdr:to>
      <xdr:col>22</xdr:col>
      <xdr:colOff>361949</xdr:colOff>
      <xdr:row>31</xdr:row>
      <xdr:rowOff>76199</xdr:rowOff>
    </xdr:to>
    <xdr:pic>
      <xdr:nvPicPr>
        <xdr:cNvPr id="68" name="Graphic 67" descr="City with solid fill">
          <a:extLst>
            <a:ext uri="{FF2B5EF4-FFF2-40B4-BE49-F238E27FC236}">
              <a16:creationId xmlns:a16="http://schemas.microsoft.com/office/drawing/2014/main" id="{085BD793-25E5-490A-857A-7A23734192B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920624" y="5072024"/>
          <a:ext cx="852525" cy="852525"/>
        </a:xfrm>
        <a:prstGeom prst="rect">
          <a:avLst/>
        </a:prstGeom>
      </xdr:spPr>
    </xdr:pic>
    <xdr:clientData/>
  </xdr:twoCellAnchor>
  <xdr:twoCellAnchor editAs="oneCell">
    <xdr:from>
      <xdr:col>0</xdr:col>
      <xdr:colOff>84921</xdr:colOff>
      <xdr:row>21</xdr:row>
      <xdr:rowOff>166575</xdr:rowOff>
    </xdr:from>
    <xdr:to>
      <xdr:col>1</xdr:col>
      <xdr:colOff>219879</xdr:colOff>
      <xdr:row>25</xdr:row>
      <xdr:rowOff>161925</xdr:rowOff>
    </xdr:to>
    <xdr:pic>
      <xdr:nvPicPr>
        <xdr:cNvPr id="69" name="Graphic 68" descr="Earth Globe - Asia with solid fill">
          <a:extLst>
            <a:ext uri="{FF2B5EF4-FFF2-40B4-BE49-F238E27FC236}">
              <a16:creationId xmlns:a16="http://schemas.microsoft.com/office/drawing/2014/main" id="{0459D551-6FD9-4AEF-B009-A100179D180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4921" y="4109925"/>
          <a:ext cx="744558" cy="757350"/>
        </a:xfrm>
        <a:prstGeom prst="rect">
          <a:avLst/>
        </a:prstGeom>
      </xdr:spPr>
    </xdr:pic>
    <xdr:clientData/>
  </xdr:twoCellAnchor>
  <xdr:twoCellAnchor editAs="oneCell">
    <xdr:from>
      <xdr:col>0</xdr:col>
      <xdr:colOff>57075</xdr:colOff>
      <xdr:row>28</xdr:row>
      <xdr:rowOff>18975</xdr:rowOff>
    </xdr:from>
    <xdr:to>
      <xdr:col>1</xdr:col>
      <xdr:colOff>203475</xdr:colOff>
      <xdr:row>32</xdr:row>
      <xdr:rowOff>12975</xdr:rowOff>
    </xdr:to>
    <xdr:pic>
      <xdr:nvPicPr>
        <xdr:cNvPr id="70" name="Graphic 69" descr="Globe with solid fill">
          <a:extLst>
            <a:ext uri="{FF2B5EF4-FFF2-40B4-BE49-F238E27FC236}">
              <a16:creationId xmlns:a16="http://schemas.microsoft.com/office/drawing/2014/main" id="{5BF723D3-3E51-4300-AB2F-AD187168449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7075" y="5295825"/>
          <a:ext cx="756000" cy="756000"/>
        </a:xfrm>
        <a:prstGeom prst="rect">
          <a:avLst/>
        </a:prstGeom>
      </xdr:spPr>
    </xdr:pic>
    <xdr:clientData/>
  </xdr:twoCellAnchor>
  <xdr:twoCellAnchor editAs="oneCell">
    <xdr:from>
      <xdr:col>20</xdr:col>
      <xdr:colOff>604725</xdr:colOff>
      <xdr:row>14</xdr:row>
      <xdr:rowOff>99900</xdr:rowOff>
    </xdr:from>
    <xdr:to>
      <xdr:col>22</xdr:col>
      <xdr:colOff>148725</xdr:colOff>
      <xdr:row>18</xdr:row>
      <xdr:rowOff>101100</xdr:rowOff>
    </xdr:to>
    <xdr:pic>
      <xdr:nvPicPr>
        <xdr:cNvPr id="72" name="Graphic 71" descr="Coins with solid fill">
          <a:extLst>
            <a:ext uri="{FF2B5EF4-FFF2-40B4-BE49-F238E27FC236}">
              <a16:creationId xmlns:a16="http://schemas.microsoft.com/office/drawing/2014/main" id="{3370B371-E15C-451D-9329-A27D2A17C29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796725" y="2709750"/>
          <a:ext cx="763200" cy="763200"/>
        </a:xfrm>
        <a:prstGeom prst="rect">
          <a:avLst/>
        </a:prstGeom>
      </xdr:spPr>
    </xdr:pic>
    <xdr:clientData/>
  </xdr:twoCellAnchor>
  <xdr:twoCellAnchor editAs="oneCell">
    <xdr:from>
      <xdr:col>20</xdr:col>
      <xdr:colOff>542625</xdr:colOff>
      <xdr:row>8</xdr:row>
      <xdr:rowOff>47325</xdr:rowOff>
    </xdr:from>
    <xdr:to>
      <xdr:col>22</xdr:col>
      <xdr:colOff>85725</xdr:colOff>
      <xdr:row>12</xdr:row>
      <xdr:rowOff>47625</xdr:rowOff>
    </xdr:to>
    <xdr:pic>
      <xdr:nvPicPr>
        <xdr:cNvPr id="74" name="Graphic 73" descr="Dollar with solid fill">
          <a:extLst>
            <a:ext uri="{FF2B5EF4-FFF2-40B4-BE49-F238E27FC236}">
              <a16:creationId xmlns:a16="http://schemas.microsoft.com/office/drawing/2014/main" id="{7B00B63B-C9B9-47BB-BEC4-74F04B5BBE1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734625" y="1514175"/>
          <a:ext cx="762300" cy="762300"/>
        </a:xfrm>
        <a:prstGeom prst="rect">
          <a:avLst/>
        </a:prstGeom>
      </xdr:spPr>
    </xdr:pic>
    <xdr:clientData/>
  </xdr:twoCellAnchor>
  <xdr:twoCellAnchor>
    <xdr:from>
      <xdr:col>21</xdr:col>
      <xdr:colOff>66675</xdr:colOff>
      <xdr:row>11</xdr:row>
      <xdr:rowOff>190499</xdr:rowOff>
    </xdr:from>
    <xdr:to>
      <xdr:col>24</xdr:col>
      <xdr:colOff>38100</xdr:colOff>
      <xdr:row>13</xdr:row>
      <xdr:rowOff>85724</xdr:rowOff>
    </xdr:to>
    <xdr:sp macro="" textlink="">
      <xdr:nvSpPr>
        <xdr:cNvPr id="77" name="TextBox 76">
          <a:extLst>
            <a:ext uri="{FF2B5EF4-FFF2-40B4-BE49-F238E27FC236}">
              <a16:creationId xmlns:a16="http://schemas.microsoft.com/office/drawing/2014/main" id="{D53389B4-A469-A06D-8A2C-31CFB1A333E7}"/>
            </a:ext>
          </a:extLst>
        </xdr:cNvPr>
        <xdr:cNvSpPr txBox="1"/>
      </xdr:nvSpPr>
      <xdr:spPr>
        <a:xfrm>
          <a:off x="12868275" y="2228849"/>
          <a:ext cx="1666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Revenue</a:t>
          </a:r>
          <a:endParaRPr lang="en-US" sz="1600" b="1">
            <a:solidFill>
              <a:schemeClr val="bg1"/>
            </a:solidFill>
          </a:endParaRPr>
        </a:p>
      </xdr:txBody>
    </xdr:sp>
    <xdr:clientData/>
  </xdr:twoCellAnchor>
  <xdr:twoCellAnchor>
    <xdr:from>
      <xdr:col>21</xdr:col>
      <xdr:colOff>47625</xdr:colOff>
      <xdr:row>18</xdr:row>
      <xdr:rowOff>57149</xdr:rowOff>
    </xdr:from>
    <xdr:to>
      <xdr:col>24</xdr:col>
      <xdr:colOff>19050</xdr:colOff>
      <xdr:row>19</xdr:row>
      <xdr:rowOff>142874</xdr:rowOff>
    </xdr:to>
    <xdr:sp macro="" textlink="">
      <xdr:nvSpPr>
        <xdr:cNvPr id="78" name="TextBox 77">
          <a:extLst>
            <a:ext uri="{FF2B5EF4-FFF2-40B4-BE49-F238E27FC236}">
              <a16:creationId xmlns:a16="http://schemas.microsoft.com/office/drawing/2014/main" id="{7EEE3822-7B4A-81E4-A3D8-C5380AE94414}"/>
            </a:ext>
          </a:extLst>
        </xdr:cNvPr>
        <xdr:cNvSpPr txBox="1"/>
      </xdr:nvSpPr>
      <xdr:spPr>
        <a:xfrm>
          <a:off x="12849225" y="3428999"/>
          <a:ext cx="16668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Total</a:t>
          </a:r>
          <a:r>
            <a:rPr lang="en-US" sz="1600" b="1" baseline="0">
              <a:solidFill>
                <a:schemeClr val="bg1"/>
              </a:solidFill>
            </a:rPr>
            <a:t> Profit</a:t>
          </a:r>
          <a:endParaRPr lang="en-US" sz="1600" b="1">
            <a:solidFill>
              <a:schemeClr val="bg1"/>
            </a:solidFill>
          </a:endParaRPr>
        </a:p>
      </xdr:txBody>
    </xdr:sp>
    <xdr:clientData/>
  </xdr:twoCellAnchor>
  <xdr:twoCellAnchor>
    <xdr:from>
      <xdr:col>21</xdr:col>
      <xdr:colOff>57150</xdr:colOff>
      <xdr:row>24</xdr:row>
      <xdr:rowOff>133349</xdr:rowOff>
    </xdr:from>
    <xdr:to>
      <xdr:col>24</xdr:col>
      <xdr:colOff>238125</xdr:colOff>
      <xdr:row>26</xdr:row>
      <xdr:rowOff>28574</xdr:rowOff>
    </xdr:to>
    <xdr:sp macro="" textlink="">
      <xdr:nvSpPr>
        <xdr:cNvPr id="79" name="TextBox 78">
          <a:extLst>
            <a:ext uri="{FF2B5EF4-FFF2-40B4-BE49-F238E27FC236}">
              <a16:creationId xmlns:a16="http://schemas.microsoft.com/office/drawing/2014/main" id="{A363A16B-64D4-8188-7781-6A8B94265D34}"/>
            </a:ext>
          </a:extLst>
        </xdr:cNvPr>
        <xdr:cNvSpPr txBox="1"/>
      </xdr:nvSpPr>
      <xdr:spPr>
        <a:xfrm>
          <a:off x="12858750" y="4648199"/>
          <a:ext cx="1876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Room Available</a:t>
          </a:r>
        </a:p>
      </xdr:txBody>
    </xdr:sp>
    <xdr:clientData/>
  </xdr:twoCellAnchor>
  <xdr:twoCellAnchor>
    <xdr:from>
      <xdr:col>21</xdr:col>
      <xdr:colOff>66675</xdr:colOff>
      <xdr:row>30</xdr:row>
      <xdr:rowOff>180974</xdr:rowOff>
    </xdr:from>
    <xdr:to>
      <xdr:col>25</xdr:col>
      <xdr:colOff>9525</xdr:colOff>
      <xdr:row>32</xdr:row>
      <xdr:rowOff>76199</xdr:rowOff>
    </xdr:to>
    <xdr:sp macro="" textlink="">
      <xdr:nvSpPr>
        <xdr:cNvPr id="80" name="TextBox 79">
          <a:extLst>
            <a:ext uri="{FF2B5EF4-FFF2-40B4-BE49-F238E27FC236}">
              <a16:creationId xmlns:a16="http://schemas.microsoft.com/office/drawing/2014/main" id="{954EE221-9040-00B2-A014-41A7DB2E7BEB}"/>
            </a:ext>
          </a:extLst>
        </xdr:cNvPr>
        <xdr:cNvSpPr txBox="1"/>
      </xdr:nvSpPr>
      <xdr:spPr>
        <a:xfrm>
          <a:off x="12868275" y="5838824"/>
          <a:ext cx="18002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Room Booked</a:t>
          </a:r>
        </a:p>
        <a:p>
          <a:pPr algn="ctr"/>
          <a:endParaRPr lang="en-US" sz="1600" b="1">
            <a:solidFill>
              <a:schemeClr val="bg1"/>
            </a:solidFill>
          </a:endParaRPr>
        </a:p>
      </xdr:txBody>
    </xdr:sp>
    <xdr:clientData/>
  </xdr:twoCellAnchor>
  <xdr:twoCellAnchor>
    <xdr:from>
      <xdr:col>21</xdr:col>
      <xdr:colOff>361950</xdr:colOff>
      <xdr:row>9</xdr:row>
      <xdr:rowOff>47624</xdr:rowOff>
    </xdr:from>
    <xdr:to>
      <xdr:col>25</xdr:col>
      <xdr:colOff>85725</xdr:colOff>
      <xdr:row>12</xdr:row>
      <xdr:rowOff>38100</xdr:rowOff>
    </xdr:to>
    <xdr:sp macro="" textlink="Pivot!A11">
      <xdr:nvSpPr>
        <xdr:cNvPr id="81" name="TextBox 80">
          <a:extLst>
            <a:ext uri="{FF2B5EF4-FFF2-40B4-BE49-F238E27FC236}">
              <a16:creationId xmlns:a16="http://schemas.microsoft.com/office/drawing/2014/main" id="{64274382-0DD9-ED57-6059-8FB15A7E07D0}"/>
            </a:ext>
          </a:extLst>
        </xdr:cNvPr>
        <xdr:cNvSpPr txBox="1"/>
      </xdr:nvSpPr>
      <xdr:spPr>
        <a:xfrm>
          <a:off x="13163550" y="1704974"/>
          <a:ext cx="1581150"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53D427-659D-43BD-8D76-BC4FC5580E09}" type="TxLink">
            <a:rPr lang="en-US" sz="2400" b="1" i="0" u="none" strike="noStrike">
              <a:solidFill>
                <a:schemeClr val="bg1"/>
              </a:solidFill>
              <a:latin typeface="Aptos Narrow"/>
            </a:rPr>
            <a:pPr algn="ctr"/>
            <a:t>$ 216M</a:t>
          </a:fld>
          <a:endParaRPr lang="en-US" sz="3600" b="1">
            <a:solidFill>
              <a:schemeClr val="bg1"/>
            </a:solidFill>
          </a:endParaRPr>
        </a:p>
      </xdr:txBody>
    </xdr:sp>
    <xdr:clientData/>
  </xdr:twoCellAnchor>
  <xdr:twoCellAnchor>
    <xdr:from>
      <xdr:col>21</xdr:col>
      <xdr:colOff>504825</xdr:colOff>
      <xdr:row>15</xdr:row>
      <xdr:rowOff>95249</xdr:rowOff>
    </xdr:from>
    <xdr:to>
      <xdr:col>25</xdr:col>
      <xdr:colOff>104775</xdr:colOff>
      <xdr:row>18</xdr:row>
      <xdr:rowOff>85725</xdr:rowOff>
    </xdr:to>
    <xdr:sp macro="" textlink="Pivot!B11">
      <xdr:nvSpPr>
        <xdr:cNvPr id="82" name="TextBox 81">
          <a:extLst>
            <a:ext uri="{FF2B5EF4-FFF2-40B4-BE49-F238E27FC236}">
              <a16:creationId xmlns:a16="http://schemas.microsoft.com/office/drawing/2014/main" id="{788A2A3A-FF44-83DA-8766-450F220ADB1B}"/>
            </a:ext>
          </a:extLst>
        </xdr:cNvPr>
        <xdr:cNvSpPr txBox="1"/>
      </xdr:nvSpPr>
      <xdr:spPr>
        <a:xfrm>
          <a:off x="13306425" y="2895599"/>
          <a:ext cx="1457325"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C086A21-E62D-423F-B457-AAFBC064C41B}" type="TxLink">
            <a:rPr lang="en-US" sz="2400" b="1" i="0" u="none" strike="noStrike">
              <a:solidFill>
                <a:schemeClr val="bg1"/>
              </a:solidFill>
              <a:latin typeface="Aptos Narrow"/>
              <a:ea typeface="+mn-ea"/>
              <a:cs typeface="+mn-cs"/>
            </a:rPr>
            <a:pPr marL="0" indent="0" algn="ctr"/>
            <a:t>$ 11M</a:t>
          </a:fld>
          <a:endParaRPr lang="en-US" sz="2400" b="1" i="0" u="none" strike="noStrike">
            <a:solidFill>
              <a:schemeClr val="bg1"/>
            </a:solidFill>
            <a:latin typeface="Aptos Narrow"/>
            <a:ea typeface="+mn-ea"/>
            <a:cs typeface="+mn-cs"/>
          </a:endParaRPr>
        </a:p>
      </xdr:txBody>
    </xdr:sp>
    <xdr:clientData/>
  </xdr:twoCellAnchor>
  <xdr:twoCellAnchor>
    <xdr:from>
      <xdr:col>21</xdr:col>
      <xdr:colOff>447675</xdr:colOff>
      <xdr:row>21</xdr:row>
      <xdr:rowOff>114299</xdr:rowOff>
    </xdr:from>
    <xdr:to>
      <xdr:col>25</xdr:col>
      <xdr:colOff>85725</xdr:colOff>
      <xdr:row>24</xdr:row>
      <xdr:rowOff>104775</xdr:rowOff>
    </xdr:to>
    <xdr:sp macro="" textlink="Pivot!A14">
      <xdr:nvSpPr>
        <xdr:cNvPr id="83" name="TextBox 82">
          <a:extLst>
            <a:ext uri="{FF2B5EF4-FFF2-40B4-BE49-F238E27FC236}">
              <a16:creationId xmlns:a16="http://schemas.microsoft.com/office/drawing/2014/main" id="{33EA2DEF-F1F8-71E3-6A28-0B4E797E3A49}"/>
            </a:ext>
          </a:extLst>
        </xdr:cNvPr>
        <xdr:cNvSpPr txBox="1"/>
      </xdr:nvSpPr>
      <xdr:spPr>
        <a:xfrm>
          <a:off x="13249275" y="4057649"/>
          <a:ext cx="1495425"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98A3332-0F88-4824-B01E-B35BE782DBC5}" type="TxLink">
            <a:rPr lang="en-US" sz="2400" b="1" i="0" u="none" strike="noStrike">
              <a:solidFill>
                <a:schemeClr val="bg1"/>
              </a:solidFill>
              <a:latin typeface="Aptos Narrow"/>
              <a:ea typeface="+mn-ea"/>
              <a:cs typeface="+mn-cs"/>
            </a:rPr>
            <a:pPr marL="0" indent="0" algn="ctr"/>
            <a:t>14688</a:t>
          </a:fld>
          <a:endParaRPr lang="en-US" sz="2400" b="1" i="0" u="none" strike="noStrike">
            <a:solidFill>
              <a:schemeClr val="bg1"/>
            </a:solidFill>
            <a:latin typeface="Aptos Narrow"/>
            <a:ea typeface="+mn-ea"/>
            <a:cs typeface="+mn-cs"/>
          </a:endParaRPr>
        </a:p>
      </xdr:txBody>
    </xdr:sp>
    <xdr:clientData/>
  </xdr:twoCellAnchor>
  <xdr:twoCellAnchor>
    <xdr:from>
      <xdr:col>22</xdr:col>
      <xdr:colOff>66675</xdr:colOff>
      <xdr:row>28</xdr:row>
      <xdr:rowOff>38099</xdr:rowOff>
    </xdr:from>
    <xdr:to>
      <xdr:col>25</xdr:col>
      <xdr:colOff>152400</xdr:colOff>
      <xdr:row>31</xdr:row>
      <xdr:rowOff>28575</xdr:rowOff>
    </xdr:to>
    <xdr:sp macro="" textlink="Pivot!B14">
      <xdr:nvSpPr>
        <xdr:cNvPr id="84" name="TextBox 83">
          <a:extLst>
            <a:ext uri="{FF2B5EF4-FFF2-40B4-BE49-F238E27FC236}">
              <a16:creationId xmlns:a16="http://schemas.microsoft.com/office/drawing/2014/main" id="{0EA40E2F-A5F5-5C9C-02FC-1BF2AFD83D87}"/>
            </a:ext>
          </a:extLst>
        </xdr:cNvPr>
        <xdr:cNvSpPr txBox="1"/>
      </xdr:nvSpPr>
      <xdr:spPr>
        <a:xfrm>
          <a:off x="13477875" y="5314949"/>
          <a:ext cx="1333500" cy="561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F2C5B5C-B72B-44FE-A9F3-598DABC65C5F}" type="TxLink">
            <a:rPr lang="en-US" sz="2400" b="1" i="0" u="none" strike="noStrike">
              <a:solidFill>
                <a:schemeClr val="bg1"/>
              </a:solidFill>
              <a:latin typeface="Aptos Narrow"/>
              <a:ea typeface="+mn-ea"/>
              <a:cs typeface="+mn-cs"/>
            </a:rPr>
            <a:pPr marL="0" indent="0" algn="ctr"/>
            <a:t>3370</a:t>
          </a:fld>
          <a:endParaRPr lang="en-US" sz="2400" b="1" i="0" u="none" strike="noStrike">
            <a:solidFill>
              <a:schemeClr val="bg1"/>
            </a:solidFill>
            <a:latin typeface="Aptos Narrow"/>
            <a:ea typeface="+mn-ea"/>
            <a:cs typeface="+mn-cs"/>
          </a:endParaRPr>
        </a:p>
      </xdr:txBody>
    </xdr:sp>
    <xdr:clientData/>
  </xdr:twoCellAnchor>
  <xdr:twoCellAnchor editAs="oneCell">
    <xdr:from>
      <xdr:col>0</xdr:col>
      <xdr:colOff>0</xdr:colOff>
      <xdr:row>9</xdr:row>
      <xdr:rowOff>50293</xdr:rowOff>
    </xdr:from>
    <xdr:to>
      <xdr:col>1</xdr:col>
      <xdr:colOff>142875</xdr:colOff>
      <xdr:row>13</xdr:row>
      <xdr:rowOff>153459</xdr:rowOff>
    </xdr:to>
    <xdr:pic>
      <xdr:nvPicPr>
        <xdr:cNvPr id="85" name="Graphic 84" descr="Database with solid fill">
          <a:extLst>
            <a:ext uri="{FF2B5EF4-FFF2-40B4-BE49-F238E27FC236}">
              <a16:creationId xmlns:a16="http://schemas.microsoft.com/office/drawing/2014/main" id="{06262BD9-8470-4F4C-B9CD-557FCD7937C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0" y="1707643"/>
          <a:ext cx="752475" cy="865166"/>
        </a:xfrm>
        <a:prstGeom prst="rect">
          <a:avLst/>
        </a:prstGeom>
      </xdr:spPr>
    </xdr:pic>
    <xdr:clientData/>
  </xdr:twoCellAnchor>
  <xdr:twoCellAnchor>
    <xdr:from>
      <xdr:col>0</xdr:col>
      <xdr:colOff>19050</xdr:colOff>
      <xdr:row>8</xdr:row>
      <xdr:rowOff>9526</xdr:rowOff>
    </xdr:from>
    <xdr:to>
      <xdr:col>2</xdr:col>
      <xdr:colOff>190500</xdr:colOff>
      <xdr:row>9</xdr:row>
      <xdr:rowOff>180976</xdr:rowOff>
    </xdr:to>
    <xdr:sp macro="" textlink="">
      <xdr:nvSpPr>
        <xdr:cNvPr id="87" name="TextBox 86">
          <a:extLst>
            <a:ext uri="{FF2B5EF4-FFF2-40B4-BE49-F238E27FC236}">
              <a16:creationId xmlns:a16="http://schemas.microsoft.com/office/drawing/2014/main" id="{BFC75C31-6B5C-4713-B72A-F61EBDD0B4EC}"/>
            </a:ext>
          </a:extLst>
        </xdr:cNvPr>
        <xdr:cNvSpPr txBox="1"/>
      </xdr:nvSpPr>
      <xdr:spPr>
        <a:xfrm>
          <a:off x="19050" y="1476376"/>
          <a:ext cx="139065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Transaction</a:t>
          </a:r>
        </a:p>
      </xdr:txBody>
    </xdr:sp>
    <xdr:clientData/>
  </xdr:twoCellAnchor>
  <xdr:twoCellAnchor>
    <xdr:from>
      <xdr:col>0</xdr:col>
      <xdr:colOff>0</xdr:colOff>
      <xdr:row>14</xdr:row>
      <xdr:rowOff>76200</xdr:rowOff>
    </xdr:from>
    <xdr:to>
      <xdr:col>2</xdr:col>
      <xdr:colOff>171450</xdr:colOff>
      <xdr:row>15</xdr:row>
      <xdr:rowOff>161925</xdr:rowOff>
    </xdr:to>
    <xdr:sp macro="" textlink="">
      <xdr:nvSpPr>
        <xdr:cNvPr id="88" name="TextBox 87">
          <a:extLst>
            <a:ext uri="{FF2B5EF4-FFF2-40B4-BE49-F238E27FC236}">
              <a16:creationId xmlns:a16="http://schemas.microsoft.com/office/drawing/2014/main" id="{99082C3D-C0EF-581E-18DC-BEF1910386E3}"/>
            </a:ext>
          </a:extLst>
        </xdr:cNvPr>
        <xdr:cNvSpPr txBox="1"/>
      </xdr:nvSpPr>
      <xdr:spPr>
        <a:xfrm>
          <a:off x="0" y="2686050"/>
          <a:ext cx="1390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Hotel</a:t>
          </a:r>
        </a:p>
      </xdr:txBody>
    </xdr:sp>
    <xdr:clientData/>
  </xdr:twoCellAnchor>
  <xdr:twoCellAnchor>
    <xdr:from>
      <xdr:col>0</xdr:col>
      <xdr:colOff>47625</xdr:colOff>
      <xdr:row>20</xdr:row>
      <xdr:rowOff>104775</xdr:rowOff>
    </xdr:from>
    <xdr:to>
      <xdr:col>2</xdr:col>
      <xdr:colOff>219075</xdr:colOff>
      <xdr:row>22</xdr:row>
      <xdr:rowOff>0</xdr:rowOff>
    </xdr:to>
    <xdr:sp macro="" textlink="">
      <xdr:nvSpPr>
        <xdr:cNvPr id="89" name="TextBox 88">
          <a:extLst>
            <a:ext uri="{FF2B5EF4-FFF2-40B4-BE49-F238E27FC236}">
              <a16:creationId xmlns:a16="http://schemas.microsoft.com/office/drawing/2014/main" id="{C9DB7AE6-4DD3-7B7B-C70D-D69682F71F50}"/>
            </a:ext>
          </a:extLst>
        </xdr:cNvPr>
        <xdr:cNvSpPr txBox="1"/>
      </xdr:nvSpPr>
      <xdr:spPr>
        <a:xfrm>
          <a:off x="47625" y="3857625"/>
          <a:ext cx="1390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Country</a:t>
          </a:r>
        </a:p>
      </xdr:txBody>
    </xdr:sp>
    <xdr:clientData/>
  </xdr:twoCellAnchor>
  <xdr:twoCellAnchor>
    <xdr:from>
      <xdr:col>0</xdr:col>
      <xdr:colOff>19050</xdr:colOff>
      <xdr:row>26</xdr:row>
      <xdr:rowOff>123825</xdr:rowOff>
    </xdr:from>
    <xdr:to>
      <xdr:col>2</xdr:col>
      <xdr:colOff>190500</xdr:colOff>
      <xdr:row>28</xdr:row>
      <xdr:rowOff>19050</xdr:rowOff>
    </xdr:to>
    <xdr:sp macro="" textlink="">
      <xdr:nvSpPr>
        <xdr:cNvPr id="90" name="TextBox 89">
          <a:extLst>
            <a:ext uri="{FF2B5EF4-FFF2-40B4-BE49-F238E27FC236}">
              <a16:creationId xmlns:a16="http://schemas.microsoft.com/office/drawing/2014/main" id="{AD78CA2E-AD2A-46D4-29D1-107E65343C99}"/>
            </a:ext>
          </a:extLst>
        </xdr:cNvPr>
        <xdr:cNvSpPr txBox="1"/>
      </xdr:nvSpPr>
      <xdr:spPr>
        <a:xfrm>
          <a:off x="19050" y="5019675"/>
          <a:ext cx="1390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City</a:t>
          </a:r>
        </a:p>
      </xdr:txBody>
    </xdr:sp>
    <xdr:clientData/>
  </xdr:twoCellAnchor>
  <xdr:twoCellAnchor editAs="oneCell">
    <xdr:from>
      <xdr:col>0</xdr:col>
      <xdr:colOff>0</xdr:colOff>
      <xdr:row>15</xdr:row>
      <xdr:rowOff>66675</xdr:rowOff>
    </xdr:from>
    <xdr:to>
      <xdr:col>1</xdr:col>
      <xdr:colOff>110400</xdr:colOff>
      <xdr:row>19</xdr:row>
      <xdr:rowOff>180975</xdr:rowOff>
    </xdr:to>
    <xdr:pic>
      <xdr:nvPicPr>
        <xdr:cNvPr id="91" name="Graphic 90" descr="Schoolhouse with solid fill">
          <a:extLst>
            <a:ext uri="{FF2B5EF4-FFF2-40B4-BE49-F238E27FC236}">
              <a16:creationId xmlns:a16="http://schemas.microsoft.com/office/drawing/2014/main" id="{19505011-EC07-4CD9-9514-050130867AB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0" y="2867025"/>
          <a:ext cx="720000" cy="876300"/>
        </a:xfrm>
        <a:prstGeom prst="rect">
          <a:avLst/>
        </a:prstGeom>
      </xdr:spPr>
    </xdr:pic>
    <xdr:clientData/>
  </xdr:twoCellAnchor>
  <xdr:twoCellAnchor>
    <xdr:from>
      <xdr:col>0</xdr:col>
      <xdr:colOff>247650</xdr:colOff>
      <xdr:row>10</xdr:row>
      <xdr:rowOff>85725</xdr:rowOff>
    </xdr:from>
    <xdr:to>
      <xdr:col>2</xdr:col>
      <xdr:colOff>419100</xdr:colOff>
      <xdr:row>12</xdr:row>
      <xdr:rowOff>142875</xdr:rowOff>
    </xdr:to>
    <xdr:sp macro="" textlink="Pivot!A5">
      <xdr:nvSpPr>
        <xdr:cNvPr id="92" name="TextBox 91">
          <a:extLst>
            <a:ext uri="{FF2B5EF4-FFF2-40B4-BE49-F238E27FC236}">
              <a16:creationId xmlns:a16="http://schemas.microsoft.com/office/drawing/2014/main" id="{D202D919-70B2-748D-22BF-C950A5260339}"/>
            </a:ext>
          </a:extLst>
        </xdr:cNvPr>
        <xdr:cNvSpPr txBox="1"/>
      </xdr:nvSpPr>
      <xdr:spPr>
        <a:xfrm>
          <a:off x="247650" y="1933575"/>
          <a:ext cx="13906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9FCCAA-2AD7-43C7-9F98-4039D03DD642}" type="TxLink">
            <a:rPr lang="en-US" sz="2400" b="1" i="0" u="none" strike="noStrike">
              <a:solidFill>
                <a:schemeClr val="bg1"/>
              </a:solidFill>
              <a:latin typeface="Aptos Narrow"/>
            </a:rPr>
            <a:pPr algn="ctr"/>
            <a:t>140</a:t>
          </a:fld>
          <a:endParaRPr lang="en-US" sz="3600" b="1">
            <a:solidFill>
              <a:schemeClr val="bg1"/>
            </a:solidFill>
          </a:endParaRPr>
        </a:p>
      </xdr:txBody>
    </xdr:sp>
    <xdr:clientData/>
  </xdr:twoCellAnchor>
  <xdr:twoCellAnchor>
    <xdr:from>
      <xdr:col>0</xdr:col>
      <xdr:colOff>238125</xdr:colOff>
      <xdr:row>17</xdr:row>
      <xdr:rowOff>57150</xdr:rowOff>
    </xdr:from>
    <xdr:to>
      <xdr:col>2</xdr:col>
      <xdr:colOff>409575</xdr:colOff>
      <xdr:row>19</xdr:row>
      <xdr:rowOff>114300</xdr:rowOff>
    </xdr:to>
    <xdr:sp macro="" textlink="Pivot!B5">
      <xdr:nvSpPr>
        <xdr:cNvPr id="93" name="TextBox 92">
          <a:extLst>
            <a:ext uri="{FF2B5EF4-FFF2-40B4-BE49-F238E27FC236}">
              <a16:creationId xmlns:a16="http://schemas.microsoft.com/office/drawing/2014/main" id="{A3662C3D-63F9-3938-27C2-550D139EAB0B}"/>
            </a:ext>
          </a:extLst>
        </xdr:cNvPr>
        <xdr:cNvSpPr txBox="1"/>
      </xdr:nvSpPr>
      <xdr:spPr>
        <a:xfrm>
          <a:off x="238125" y="3238500"/>
          <a:ext cx="13906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AE372B-92D3-4272-8465-5A1C4D8E60CB}" type="TxLink">
            <a:rPr lang="en-US" sz="2400" b="1" i="0" u="none" strike="noStrike">
              <a:solidFill>
                <a:schemeClr val="bg1"/>
              </a:solidFill>
              <a:latin typeface="Aptos Narrow"/>
              <a:ea typeface="+mn-ea"/>
              <a:cs typeface="+mn-cs"/>
            </a:rPr>
            <a:pPr marL="0" indent="0" algn="ctr"/>
            <a:t>33</a:t>
          </a:fld>
          <a:endParaRPr lang="en-US" sz="2400" b="1" i="0" u="none" strike="noStrike">
            <a:solidFill>
              <a:schemeClr val="bg1"/>
            </a:solidFill>
            <a:latin typeface="Aptos Narrow"/>
            <a:ea typeface="+mn-ea"/>
            <a:cs typeface="+mn-cs"/>
          </a:endParaRPr>
        </a:p>
      </xdr:txBody>
    </xdr:sp>
    <xdr:clientData/>
  </xdr:twoCellAnchor>
  <xdr:twoCellAnchor>
    <xdr:from>
      <xdr:col>0</xdr:col>
      <xdr:colOff>314325</xdr:colOff>
      <xdr:row>22</xdr:row>
      <xdr:rowOff>123825</xdr:rowOff>
    </xdr:from>
    <xdr:to>
      <xdr:col>2</xdr:col>
      <xdr:colOff>485775</xdr:colOff>
      <xdr:row>24</xdr:row>
      <xdr:rowOff>180975</xdr:rowOff>
    </xdr:to>
    <xdr:sp macro="" textlink="Pivot!A8">
      <xdr:nvSpPr>
        <xdr:cNvPr id="94" name="TextBox 93">
          <a:extLst>
            <a:ext uri="{FF2B5EF4-FFF2-40B4-BE49-F238E27FC236}">
              <a16:creationId xmlns:a16="http://schemas.microsoft.com/office/drawing/2014/main" id="{768EBBED-F363-84AD-3AC4-79083BDD2133}"/>
            </a:ext>
          </a:extLst>
        </xdr:cNvPr>
        <xdr:cNvSpPr txBox="1"/>
      </xdr:nvSpPr>
      <xdr:spPr>
        <a:xfrm>
          <a:off x="314325" y="4257675"/>
          <a:ext cx="13906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B4EA434-811B-46EF-BB9D-8680FBACF7A2}" type="TxLink">
            <a:rPr lang="en-US" sz="2400" b="1" i="0" u="none" strike="noStrike">
              <a:solidFill>
                <a:schemeClr val="bg1"/>
              </a:solidFill>
              <a:latin typeface="Aptos Narrow"/>
              <a:ea typeface="+mn-ea"/>
              <a:cs typeface="+mn-cs"/>
            </a:rPr>
            <a:pPr marL="0" indent="0" algn="ctr"/>
            <a:t>6</a:t>
          </a:fld>
          <a:endParaRPr lang="en-US" sz="2400" b="1" i="0" u="none" strike="noStrike">
            <a:solidFill>
              <a:schemeClr val="bg1"/>
            </a:solidFill>
            <a:latin typeface="Aptos Narrow"/>
            <a:ea typeface="+mn-ea"/>
            <a:cs typeface="+mn-cs"/>
          </a:endParaRPr>
        </a:p>
      </xdr:txBody>
    </xdr:sp>
    <xdr:clientData/>
  </xdr:twoCellAnchor>
  <xdr:twoCellAnchor>
    <xdr:from>
      <xdr:col>0</xdr:col>
      <xdr:colOff>323850</xdr:colOff>
      <xdr:row>28</xdr:row>
      <xdr:rowOff>180975</xdr:rowOff>
    </xdr:from>
    <xdr:to>
      <xdr:col>2</xdr:col>
      <xdr:colOff>495300</xdr:colOff>
      <xdr:row>31</xdr:row>
      <xdr:rowOff>47625</xdr:rowOff>
    </xdr:to>
    <xdr:sp macro="" textlink="Pivot!B8">
      <xdr:nvSpPr>
        <xdr:cNvPr id="95" name="TextBox 94">
          <a:extLst>
            <a:ext uri="{FF2B5EF4-FFF2-40B4-BE49-F238E27FC236}">
              <a16:creationId xmlns:a16="http://schemas.microsoft.com/office/drawing/2014/main" id="{9D14C8AF-DDC2-4165-A125-15ED8580AFDD}"/>
            </a:ext>
          </a:extLst>
        </xdr:cNvPr>
        <xdr:cNvSpPr txBox="1"/>
      </xdr:nvSpPr>
      <xdr:spPr>
        <a:xfrm>
          <a:off x="323850" y="5457825"/>
          <a:ext cx="139065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4A935A-DE4F-447D-A1AD-1D293D5D7EFE}" type="TxLink">
            <a:rPr lang="en-US" sz="2400" b="1" i="0" u="none" strike="noStrike">
              <a:solidFill>
                <a:schemeClr val="bg1"/>
              </a:solidFill>
              <a:latin typeface="Aptos Narrow"/>
              <a:ea typeface="+mn-ea"/>
              <a:cs typeface="+mn-cs"/>
            </a:rPr>
            <a:pPr marL="0" indent="0" algn="ctr"/>
            <a:t>12</a:t>
          </a:fld>
          <a:endParaRPr lang="en-US" sz="2400" b="1" i="0" u="none" strike="noStrike">
            <a:solidFill>
              <a:schemeClr val="bg1"/>
            </a:solidFill>
            <a:latin typeface="Aptos Narrow"/>
            <a:ea typeface="+mn-ea"/>
            <a:cs typeface="+mn-cs"/>
          </a:endParaRPr>
        </a:p>
      </xdr:txBody>
    </xdr:sp>
    <xdr:clientData/>
  </xdr:twoCellAnchor>
  <xdr:twoCellAnchor>
    <xdr:from>
      <xdr:col>0</xdr:col>
      <xdr:colOff>161925</xdr:colOff>
      <xdr:row>0</xdr:row>
      <xdr:rowOff>47625</xdr:rowOff>
    </xdr:from>
    <xdr:to>
      <xdr:col>15</xdr:col>
      <xdr:colOff>161924</xdr:colOff>
      <xdr:row>4</xdr:row>
      <xdr:rowOff>38100</xdr:rowOff>
    </xdr:to>
    <xdr:sp macro="" textlink="">
      <xdr:nvSpPr>
        <xdr:cNvPr id="96" name="TextBox 95">
          <a:extLst>
            <a:ext uri="{FF2B5EF4-FFF2-40B4-BE49-F238E27FC236}">
              <a16:creationId xmlns:a16="http://schemas.microsoft.com/office/drawing/2014/main" id="{057AA3E6-EBBD-F92F-8471-8D1A25E54D3C}"/>
            </a:ext>
          </a:extLst>
        </xdr:cNvPr>
        <xdr:cNvSpPr txBox="1"/>
      </xdr:nvSpPr>
      <xdr:spPr>
        <a:xfrm>
          <a:off x="161925" y="47625"/>
          <a:ext cx="9143999"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0" b="1">
              <a:solidFill>
                <a:schemeClr val="bg1"/>
              </a:solidFill>
            </a:rPr>
            <a:t>HOTEL BOOKING PERFORMANCE</a:t>
          </a:r>
        </a:p>
      </xdr:txBody>
    </xdr:sp>
    <xdr:clientData/>
  </xdr:twoCellAnchor>
  <xdr:twoCellAnchor>
    <xdr:from>
      <xdr:col>15</xdr:col>
      <xdr:colOff>161925</xdr:colOff>
      <xdr:row>0</xdr:row>
      <xdr:rowOff>66675</xdr:rowOff>
    </xdr:from>
    <xdr:to>
      <xdr:col>23</xdr:col>
      <xdr:colOff>447675</xdr:colOff>
      <xdr:row>4</xdr:row>
      <xdr:rowOff>57150</xdr:rowOff>
    </xdr:to>
    <xdr:sp macro="" textlink="">
      <xdr:nvSpPr>
        <xdr:cNvPr id="97" name="Rectangle: Rounded Corners 96">
          <a:extLst>
            <a:ext uri="{FF2B5EF4-FFF2-40B4-BE49-F238E27FC236}">
              <a16:creationId xmlns:a16="http://schemas.microsoft.com/office/drawing/2014/main" id="{89E2603D-88C2-BE38-E6BE-FB1E55237BC2}"/>
            </a:ext>
          </a:extLst>
        </xdr:cNvPr>
        <xdr:cNvSpPr/>
      </xdr:nvSpPr>
      <xdr:spPr>
        <a:xfrm>
          <a:off x="9305925" y="66675"/>
          <a:ext cx="5162550" cy="752475"/>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342900</xdr:colOff>
      <xdr:row>0</xdr:row>
      <xdr:rowOff>95249</xdr:rowOff>
    </xdr:from>
    <xdr:to>
      <xdr:col>23</xdr:col>
      <xdr:colOff>342900</xdr:colOff>
      <xdr:row>4</xdr:row>
      <xdr:rowOff>10049</xdr:rowOff>
    </xdr:to>
    <mc:AlternateContent xmlns:mc="http://schemas.openxmlformats.org/markup-compatibility/2006" xmlns:a14="http://schemas.microsoft.com/office/drawing/2010/main">
      <mc:Choice Requires="a14">
        <xdr:graphicFrame macro="">
          <xdr:nvGraphicFramePr>
            <xdr:cNvPr id="98" name="Year">
              <a:extLst>
                <a:ext uri="{FF2B5EF4-FFF2-40B4-BE49-F238E27FC236}">
                  <a16:creationId xmlns:a16="http://schemas.microsoft.com/office/drawing/2014/main" id="{897F23F8-0964-47CB-B468-62F92F6D9C4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534900" y="95249"/>
              <a:ext cx="1828800" cy="67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247650</xdr:colOff>
      <xdr:row>0</xdr:row>
      <xdr:rowOff>104775</xdr:rowOff>
    </xdr:from>
    <xdr:to>
      <xdr:col>20</xdr:col>
      <xdr:colOff>266700</xdr:colOff>
      <xdr:row>4</xdr:row>
      <xdr:rowOff>19050</xdr:rowOff>
    </xdr:to>
    <mc:AlternateContent xmlns:mc="http://schemas.openxmlformats.org/markup-compatibility/2006" xmlns:a14="http://schemas.microsoft.com/office/drawing/2010/main">
      <mc:Choice Requires="a14">
        <xdr:graphicFrame macro="">
          <xdr:nvGraphicFramePr>
            <xdr:cNvPr id="99" name="Country ShortForm">
              <a:extLst>
                <a:ext uri="{FF2B5EF4-FFF2-40B4-BE49-F238E27FC236}">
                  <a16:creationId xmlns:a16="http://schemas.microsoft.com/office/drawing/2014/main" id="{C47A6707-346E-41CF-A9F5-E5CF8070D8D3}"/>
                </a:ext>
              </a:extLst>
            </xdr:cNvPr>
            <xdr:cNvGraphicFramePr/>
          </xdr:nvGraphicFramePr>
          <xdr:xfrm>
            <a:off x="0" y="0"/>
            <a:ext cx="0" cy="0"/>
          </xdr:xfrm>
          <a:graphic>
            <a:graphicData uri="http://schemas.microsoft.com/office/drawing/2010/slicer">
              <sle:slicer xmlns:sle="http://schemas.microsoft.com/office/drawing/2010/slicer" name="Country ShortForm"/>
            </a:graphicData>
          </a:graphic>
        </xdr:graphicFrame>
      </mc:Choice>
      <mc:Fallback xmlns="">
        <xdr:sp macro="" textlink="">
          <xdr:nvSpPr>
            <xdr:cNvPr id="0" name=""/>
            <xdr:cNvSpPr>
              <a:spLocks noTextEdit="1"/>
            </xdr:cNvSpPr>
          </xdr:nvSpPr>
          <xdr:spPr>
            <a:xfrm>
              <a:off x="9391650" y="104775"/>
              <a:ext cx="306705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30.906332175924" createdVersion="8" refreshedVersion="8" minRefreshableVersion="3" recordCount="140" xr:uid="{A3BB272D-EC10-47C2-81E5-7DBC2229F820}">
  <cacheSource type="worksheet">
    <worksheetSource name="Table2"/>
  </cacheSource>
  <cacheFields count="19">
    <cacheField name="Year" numFmtId="0">
      <sharedItems containsSemiMixedTypes="0" containsString="0" containsNumber="1" containsInteger="1" minValue="2022" maxValue="2023" count="2">
        <n v="2022"/>
        <n v="2023"/>
      </sharedItems>
    </cacheField>
    <cacheField name="Month" numFmtId="0">
      <sharedItems count="12">
        <s v="Jan"/>
        <s v="Apr"/>
        <s v="Jun"/>
        <s v="Oct"/>
        <s v="Dec"/>
        <s v="Sep"/>
        <s v="Mar"/>
        <s v="Aug"/>
        <s v="May"/>
        <s v="Nov"/>
        <s v="Jul"/>
        <s v="Feb"/>
      </sharedItems>
    </cacheField>
    <cacheField name="Hotel Name" numFmtId="0">
      <sharedItems count="8">
        <s v="Opera House"/>
        <s v="Hames Palace"/>
        <s v="Marine Resort"/>
        <s v="Empire Grand"/>
        <s v="Palace Inn"/>
        <s v="View Hotel"/>
        <s v="Inn Eve"/>
        <s v="Hotel Sunshine"/>
      </sharedItems>
    </cacheField>
    <cacheField name="Country" numFmtId="0">
      <sharedItems count="6">
        <s v="Australia"/>
        <s v="United Kingdom"/>
        <s v="India"/>
        <s v="United States"/>
        <s v="United Arab Emirates"/>
        <s v="Italy"/>
      </sharedItems>
    </cacheField>
    <cacheField name="City" numFmtId="0">
      <sharedItems count="12">
        <s v="Sydney"/>
        <s v="London"/>
        <s v="Mumbai"/>
        <s v="New York"/>
        <s v="Abu Dhabi"/>
        <s v="Rome"/>
        <s v="Bangalore"/>
        <s v="Melbourne"/>
        <s v="Milan"/>
        <s v="Los Angeles"/>
        <s v="Chicago"/>
        <s v="Birmingham"/>
      </sharedItems>
    </cacheField>
    <cacheField name="Customer ID" numFmtId="0">
      <sharedItems count="28">
        <s v="CID00"/>
        <s v="CID01"/>
        <s v="CID03"/>
        <s v="CID08"/>
        <s v="CID09"/>
        <s v="CID12"/>
        <s v="CID14"/>
        <s v="CID15"/>
        <s v="CID16"/>
        <s v="CID17"/>
        <s v="CID23"/>
        <s v="CID24"/>
        <s v="CID26"/>
        <s v="CID27"/>
        <s v="CID33"/>
        <s v="CID36"/>
        <s v="CID38"/>
        <s v="CID39"/>
        <s v="CID43"/>
        <s v="CID44"/>
        <s v="CID45"/>
        <s v="CID51"/>
        <s v="CID52"/>
        <s v="CID57"/>
        <s v="CID58"/>
        <s v="CID60"/>
        <s v="CID61"/>
        <s v="CID63"/>
      </sharedItems>
    </cacheField>
    <cacheField name="Customer Age" numFmtId="0">
      <sharedItems containsSemiMixedTypes="0" containsString="0" containsNumber="1" containsInteger="1" minValue="19" maxValue="72"/>
    </cacheField>
    <cacheField name="Customer Gender" numFmtId="0">
      <sharedItems/>
    </cacheField>
    <cacheField name="Customer Type" numFmtId="0">
      <sharedItems count="2">
        <s v="Existing"/>
        <s v="New"/>
      </sharedItems>
    </cacheField>
    <cacheField name="Booking Date" numFmtId="14">
      <sharedItems containsSemiMixedTypes="0" containsNonDate="0" containsDate="1" containsString="0" minDate="2022-01-09T00:00:00" maxDate="2024-01-01T00:00:00"/>
    </cacheField>
    <cacheField name="Room Type" numFmtId="0">
      <sharedItems count="7">
        <s v="Business Class"/>
        <s v="Single"/>
        <s v="Super Luxury"/>
        <s v="Sharing"/>
        <s v="Regular"/>
        <s v="Delux"/>
        <s v="Luxury"/>
      </sharedItems>
    </cacheField>
    <cacheField name="Booking Status" numFmtId="0">
      <sharedItems/>
    </cacheField>
    <cacheField name="Room Booked" numFmtId="0">
      <sharedItems containsSemiMixedTypes="0" containsString="0" containsNumber="1" containsInteger="1" minValue="1" maxValue="76"/>
    </cacheField>
    <cacheField name="Room Available" numFmtId="0">
      <sharedItems containsSemiMixedTypes="0" containsString="0" containsNumber="1" containsInteger="1" minValue="77" maxValue="125"/>
    </cacheField>
    <cacheField name="Price" numFmtId="164">
      <sharedItems containsSemiMixedTypes="0" containsString="0" containsNumber="1" containsInteger="1" minValue="340" maxValue="252768"/>
    </cacheField>
    <cacheField name="Payment Mode" numFmtId="0">
      <sharedItems/>
    </cacheField>
    <cacheField name="Total Revenue" numFmtId="164">
      <sharedItems containsSemiMixedTypes="0" containsString="0" containsNumber="1" containsInteger="1" minValue="2458" maxValue="12267008"/>
    </cacheField>
    <cacheField name="Profit" numFmtId="164">
      <sharedItems containsSemiMixedTypes="0" containsString="0" containsNumber="1" minValue="1108.8" maxValue="270825.3"/>
    </cacheField>
    <cacheField name="Country ShortForm" numFmtId="0">
      <sharedItems count="6">
        <s v="AUS"/>
        <s v="UK"/>
        <s v="IND"/>
        <s v="USA"/>
        <s v="UAE"/>
        <s v="ITA"/>
      </sharedItems>
    </cacheField>
  </cacheFields>
  <extLst>
    <ext xmlns:x14="http://schemas.microsoft.com/office/spreadsheetml/2009/9/main" uri="{725AE2AE-9491-48be-B2B4-4EB974FC3084}">
      <x14:pivotCacheDefinition pivotCacheId="1430104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x v="0"/>
    <x v="0"/>
    <x v="0"/>
    <x v="0"/>
    <x v="0"/>
    <n v="37"/>
    <s v="Female"/>
    <x v="0"/>
    <d v="2022-01-09T00:00:00"/>
    <x v="0"/>
    <s v="Cancelled"/>
    <n v="9"/>
    <n v="123"/>
    <n v="4867"/>
    <s v="Online"/>
    <n v="43803"/>
    <n v="32122.199999999997"/>
    <x v="0"/>
  </r>
  <r>
    <x v="0"/>
    <x v="1"/>
    <x v="1"/>
    <x v="1"/>
    <x v="1"/>
    <x v="1"/>
    <n v="21"/>
    <s v="Male"/>
    <x v="0"/>
    <d v="2022-04-23T00:00:00"/>
    <x v="0"/>
    <s v="Pending"/>
    <n v="26"/>
    <n v="106"/>
    <n v="3928"/>
    <s v="Credit Card"/>
    <n v="102128"/>
    <n v="44779.199999999997"/>
    <x v="1"/>
  </r>
  <r>
    <x v="0"/>
    <x v="2"/>
    <x v="2"/>
    <x v="2"/>
    <x v="2"/>
    <x v="2"/>
    <n v="22"/>
    <s v="Female"/>
    <x v="1"/>
    <d v="2022-06-09T00:00:00"/>
    <x v="1"/>
    <s v="Confirmed"/>
    <n v="11"/>
    <n v="123"/>
    <n v="26016"/>
    <s v="Online"/>
    <n v="286176"/>
    <n v="26341.200000000001"/>
    <x v="2"/>
  </r>
  <r>
    <x v="0"/>
    <x v="3"/>
    <x v="0"/>
    <x v="0"/>
    <x v="0"/>
    <x v="3"/>
    <n v="56"/>
    <s v="Female"/>
    <x v="1"/>
    <d v="2022-10-03T00:00:00"/>
    <x v="2"/>
    <s v="Pending"/>
    <n v="19"/>
    <n v="86"/>
    <n v="4639"/>
    <s v="Online"/>
    <n v="88141"/>
    <n v="65409.899999999994"/>
    <x v="0"/>
  </r>
  <r>
    <x v="0"/>
    <x v="4"/>
    <x v="1"/>
    <x v="1"/>
    <x v="1"/>
    <x v="4"/>
    <n v="56"/>
    <s v="Female"/>
    <x v="0"/>
    <d v="2022-12-19T00:00:00"/>
    <x v="3"/>
    <s v="Pending"/>
    <n v="47"/>
    <n v="121"/>
    <n v="73568"/>
    <s v="Cash"/>
    <n v="3457696"/>
    <n v="197433.60000000001"/>
    <x v="1"/>
  </r>
  <r>
    <x v="1"/>
    <x v="5"/>
    <x v="2"/>
    <x v="2"/>
    <x v="2"/>
    <x v="5"/>
    <n v="52"/>
    <s v="Male"/>
    <x v="0"/>
    <d v="2023-09-15T00:00:00"/>
    <x v="0"/>
    <s v="Cancelled"/>
    <n v="22"/>
    <n v="123"/>
    <n v="7380"/>
    <s v="Online"/>
    <n v="162360"/>
    <n v="121770"/>
    <x v="2"/>
  </r>
  <r>
    <x v="0"/>
    <x v="6"/>
    <x v="0"/>
    <x v="0"/>
    <x v="0"/>
    <x v="6"/>
    <n v="64"/>
    <s v="Female"/>
    <x v="0"/>
    <d v="2022-03-26T00:00:00"/>
    <x v="0"/>
    <s v="Pending"/>
    <n v="26"/>
    <n v="114"/>
    <n v="3976"/>
    <s v="Cash"/>
    <n v="103376"/>
    <n v="75146.399999999994"/>
    <x v="0"/>
  </r>
  <r>
    <x v="0"/>
    <x v="7"/>
    <x v="1"/>
    <x v="1"/>
    <x v="1"/>
    <x v="7"/>
    <n v="22"/>
    <s v="Male"/>
    <x v="0"/>
    <d v="2022-08-09T00:00:00"/>
    <x v="1"/>
    <s v="Cancelled"/>
    <n v="38"/>
    <n v="105"/>
    <n v="35248"/>
    <s v="Credit Card"/>
    <n v="1339424"/>
    <n v="91204.2"/>
    <x v="1"/>
  </r>
  <r>
    <x v="1"/>
    <x v="8"/>
    <x v="2"/>
    <x v="2"/>
    <x v="2"/>
    <x v="8"/>
    <n v="49"/>
    <s v="Female"/>
    <x v="0"/>
    <d v="2023-05-16T00:00:00"/>
    <x v="1"/>
    <s v="Cancelled"/>
    <n v="62"/>
    <n v="109"/>
    <n v="42008"/>
    <s v="Credit Card"/>
    <n v="2604496"/>
    <n v="97668.599999999991"/>
    <x v="2"/>
  </r>
  <r>
    <x v="0"/>
    <x v="0"/>
    <x v="3"/>
    <x v="3"/>
    <x v="3"/>
    <x v="9"/>
    <n v="46"/>
    <s v="Female"/>
    <x v="1"/>
    <d v="2022-01-15T00:00:00"/>
    <x v="3"/>
    <s v="Pending"/>
    <n v="16"/>
    <n v="99"/>
    <n v="20104"/>
    <s v="Debit Card"/>
    <n v="321664"/>
    <n v="104549.4"/>
    <x v="3"/>
  </r>
  <r>
    <x v="0"/>
    <x v="3"/>
    <x v="0"/>
    <x v="0"/>
    <x v="0"/>
    <x v="10"/>
    <n v="38"/>
    <s v="Female"/>
    <x v="0"/>
    <d v="2022-10-16T00:00:00"/>
    <x v="4"/>
    <s v="Pending"/>
    <n v="16"/>
    <n v="115"/>
    <n v="9707"/>
    <s v="Debit Card"/>
    <n v="155312"/>
    <n v="270825.3"/>
    <x v="0"/>
  </r>
  <r>
    <x v="1"/>
    <x v="5"/>
    <x v="0"/>
    <x v="0"/>
    <x v="0"/>
    <x v="11"/>
    <n v="56"/>
    <s v="Female"/>
    <x v="0"/>
    <d v="2023-09-13T00:00:00"/>
    <x v="0"/>
    <s v="Pending"/>
    <n v="24"/>
    <n v="80"/>
    <n v="340"/>
    <s v="Online"/>
    <n v="8160"/>
    <n v="6018"/>
    <x v="0"/>
  </r>
  <r>
    <x v="1"/>
    <x v="2"/>
    <x v="1"/>
    <x v="1"/>
    <x v="1"/>
    <x v="12"/>
    <n v="35"/>
    <s v="Male"/>
    <x v="1"/>
    <d v="2023-06-18T00:00:00"/>
    <x v="5"/>
    <s v="Cancelled"/>
    <n v="27"/>
    <n v="109"/>
    <n v="76704"/>
    <s v="Cash"/>
    <n v="2071008"/>
    <n v="86702.7"/>
    <x v="1"/>
  </r>
  <r>
    <x v="0"/>
    <x v="9"/>
    <x v="4"/>
    <x v="4"/>
    <x v="4"/>
    <x v="13"/>
    <n v="56"/>
    <s v="Female"/>
    <x v="1"/>
    <d v="2022-11-27T00:00:00"/>
    <x v="3"/>
    <s v="Confirmed"/>
    <n v="34"/>
    <n v="96"/>
    <n v="17304"/>
    <s v="Online"/>
    <n v="588336"/>
    <n v="17952.899999999998"/>
    <x v="4"/>
  </r>
  <r>
    <x v="1"/>
    <x v="3"/>
    <x v="0"/>
    <x v="0"/>
    <x v="0"/>
    <x v="14"/>
    <n v="56"/>
    <s v="Female"/>
    <x v="0"/>
    <d v="2023-10-03T00:00:00"/>
    <x v="3"/>
    <s v="Cancelled"/>
    <n v="14"/>
    <n v="105"/>
    <n v="155856"/>
    <s v="Online"/>
    <n v="2181984"/>
    <n v="64290.6"/>
    <x v="0"/>
  </r>
  <r>
    <x v="0"/>
    <x v="3"/>
    <x v="0"/>
    <x v="0"/>
    <x v="0"/>
    <x v="15"/>
    <n v="55"/>
    <s v="Female"/>
    <x v="0"/>
    <d v="2022-10-26T00:00:00"/>
    <x v="4"/>
    <s v="Pending"/>
    <n v="21"/>
    <n v="92"/>
    <n v="1945"/>
    <s v="Cash"/>
    <n v="40845"/>
    <n v="19255.5"/>
    <x v="0"/>
  </r>
  <r>
    <x v="1"/>
    <x v="10"/>
    <x v="4"/>
    <x v="4"/>
    <x v="4"/>
    <x v="16"/>
    <n v="19"/>
    <s v="Female"/>
    <x v="0"/>
    <d v="2023-07-31T00:00:00"/>
    <x v="1"/>
    <s v="Confirmed"/>
    <n v="16"/>
    <n v="110"/>
    <n v="75528"/>
    <s v="Debit Card"/>
    <n v="1208448"/>
    <n v="107627.4"/>
    <x v="4"/>
  </r>
  <r>
    <x v="0"/>
    <x v="5"/>
    <x v="3"/>
    <x v="3"/>
    <x v="3"/>
    <x v="17"/>
    <n v="58"/>
    <s v="Female"/>
    <x v="0"/>
    <d v="2022-09-07T00:00:00"/>
    <x v="4"/>
    <s v="Pending"/>
    <n v="16"/>
    <n v="119"/>
    <n v="1683"/>
    <s v="Debit Card"/>
    <n v="26928"/>
    <n v="19691.099999999999"/>
    <x v="3"/>
  </r>
  <r>
    <x v="0"/>
    <x v="1"/>
    <x v="4"/>
    <x v="4"/>
    <x v="4"/>
    <x v="18"/>
    <n v="42"/>
    <s v="Male"/>
    <x v="0"/>
    <d v="2022-04-14T00:00:00"/>
    <x v="6"/>
    <s v="Cancelled"/>
    <n v="1"/>
    <n v="83"/>
    <n v="59136"/>
    <s v="Cash"/>
    <n v="59136"/>
    <n v="1108.8"/>
    <x v="4"/>
  </r>
  <r>
    <x v="1"/>
    <x v="4"/>
    <x v="2"/>
    <x v="2"/>
    <x v="2"/>
    <x v="19"/>
    <n v="56"/>
    <s v="Female"/>
    <x v="0"/>
    <d v="2023-12-02T00:00:00"/>
    <x v="2"/>
    <s v="Confirmed"/>
    <n v="38"/>
    <n v="113"/>
    <n v="5517"/>
    <s v="Debit Card"/>
    <n v="209646"/>
    <n v="122477.4"/>
    <x v="2"/>
  </r>
  <r>
    <x v="1"/>
    <x v="0"/>
    <x v="0"/>
    <x v="0"/>
    <x v="0"/>
    <x v="20"/>
    <n v="56"/>
    <s v="Male"/>
    <x v="0"/>
    <d v="2023-01-25T00:00:00"/>
    <x v="0"/>
    <s v="Confirmed"/>
    <n v="8"/>
    <n v="98"/>
    <n v="3137"/>
    <s v="Online"/>
    <n v="25096"/>
    <n v="82816.800000000003"/>
    <x v="0"/>
  </r>
  <r>
    <x v="1"/>
    <x v="10"/>
    <x v="4"/>
    <x v="4"/>
    <x v="4"/>
    <x v="21"/>
    <n v="71"/>
    <s v="Male"/>
    <x v="0"/>
    <d v="2023-07-07T00:00:00"/>
    <x v="3"/>
    <s v="Confirmed"/>
    <n v="3"/>
    <n v="89"/>
    <n v="93488"/>
    <s v="Online"/>
    <n v="280464"/>
    <n v="16930.2"/>
    <x v="4"/>
  </r>
  <r>
    <x v="0"/>
    <x v="0"/>
    <x v="4"/>
    <x v="4"/>
    <x v="4"/>
    <x v="22"/>
    <n v="21"/>
    <s v="Female"/>
    <x v="0"/>
    <d v="2022-01-25T00:00:00"/>
    <x v="3"/>
    <s v="Cancelled"/>
    <n v="38"/>
    <n v="92"/>
    <n v="6456"/>
    <s v="Cash"/>
    <n v="245328"/>
    <n v="216755.1"/>
    <x v="4"/>
  </r>
  <r>
    <x v="1"/>
    <x v="9"/>
    <x v="2"/>
    <x v="2"/>
    <x v="2"/>
    <x v="23"/>
    <n v="31"/>
    <s v="Male"/>
    <x v="0"/>
    <d v="2023-11-19T00:00:00"/>
    <x v="2"/>
    <s v="Cancelled"/>
    <n v="44"/>
    <n v="121"/>
    <n v="8790"/>
    <s v="Credit Card"/>
    <n v="386760"/>
    <n v="152946"/>
    <x v="2"/>
  </r>
  <r>
    <x v="0"/>
    <x v="9"/>
    <x v="0"/>
    <x v="0"/>
    <x v="0"/>
    <x v="24"/>
    <n v="29"/>
    <s v="Female"/>
    <x v="0"/>
    <d v="2022-11-20T00:00:00"/>
    <x v="2"/>
    <s v="Confirmed"/>
    <n v="7"/>
    <n v="111"/>
    <n v="9488"/>
    <s v="Online"/>
    <n v="66416"/>
    <n v="19924.8"/>
    <x v="0"/>
  </r>
  <r>
    <x v="1"/>
    <x v="8"/>
    <x v="5"/>
    <x v="4"/>
    <x v="4"/>
    <x v="25"/>
    <n v="69"/>
    <s v="Female"/>
    <x v="0"/>
    <d v="2023-05-22T00:00:00"/>
    <x v="4"/>
    <s v="Cancelled"/>
    <n v="21"/>
    <n v="108"/>
    <n v="5691"/>
    <s v="Online"/>
    <n v="119511"/>
    <n v="88779.599999999991"/>
    <x v="4"/>
  </r>
  <r>
    <x v="1"/>
    <x v="5"/>
    <x v="0"/>
    <x v="0"/>
    <x v="0"/>
    <x v="26"/>
    <n v="58"/>
    <s v="Female"/>
    <x v="0"/>
    <d v="2023-09-21T00:00:00"/>
    <x v="0"/>
    <s v="Pending"/>
    <n v="16"/>
    <n v="99"/>
    <n v="9224"/>
    <s v="Online"/>
    <n v="147584"/>
    <n v="132825.60000000001"/>
    <x v="0"/>
  </r>
  <r>
    <x v="1"/>
    <x v="8"/>
    <x v="3"/>
    <x v="0"/>
    <x v="0"/>
    <x v="27"/>
    <n v="56"/>
    <s v="Female"/>
    <x v="1"/>
    <d v="2023-05-28T00:00:00"/>
    <x v="1"/>
    <s v="Confirmed"/>
    <n v="2"/>
    <n v="80"/>
    <n v="51720"/>
    <s v="Online"/>
    <n v="103440"/>
    <n v="9697.5"/>
    <x v="0"/>
  </r>
  <r>
    <x v="0"/>
    <x v="6"/>
    <x v="6"/>
    <x v="5"/>
    <x v="5"/>
    <x v="0"/>
    <n v="57"/>
    <s v="Female"/>
    <x v="1"/>
    <d v="2022-03-02T00:00:00"/>
    <x v="2"/>
    <s v="Pending"/>
    <n v="14"/>
    <n v="109"/>
    <n v="4524"/>
    <s v="Online"/>
    <n v="63336"/>
    <n v="44787.6"/>
    <x v="5"/>
  </r>
  <r>
    <x v="0"/>
    <x v="6"/>
    <x v="6"/>
    <x v="5"/>
    <x v="5"/>
    <x v="1"/>
    <n v="57"/>
    <s v="Male"/>
    <x v="1"/>
    <d v="2022-03-04T00:00:00"/>
    <x v="4"/>
    <s v="Confirmed"/>
    <n v="39"/>
    <n v="82"/>
    <n v="2691"/>
    <s v="Debit Card"/>
    <n v="104949"/>
    <n v="78308.099999999991"/>
    <x v="5"/>
  </r>
  <r>
    <x v="1"/>
    <x v="5"/>
    <x v="1"/>
    <x v="0"/>
    <x v="0"/>
    <x v="2"/>
    <n v="60"/>
    <s v="Male"/>
    <x v="0"/>
    <d v="2023-09-02T00:00:00"/>
    <x v="3"/>
    <s v="Pending"/>
    <n v="43"/>
    <n v="104"/>
    <n v="93888"/>
    <s v="Debit Card"/>
    <n v="4037184"/>
    <n v="96235.199999999997"/>
    <x v="0"/>
  </r>
  <r>
    <x v="1"/>
    <x v="9"/>
    <x v="2"/>
    <x v="2"/>
    <x v="2"/>
    <x v="3"/>
    <n v="28"/>
    <s v="Female"/>
    <x v="0"/>
    <d v="2023-11-13T00:00:00"/>
    <x v="2"/>
    <s v="Confirmed"/>
    <n v="27"/>
    <n v="118"/>
    <n v="6681"/>
    <s v="Cash"/>
    <n v="180387"/>
    <n v="132283.79999999999"/>
    <x v="2"/>
  </r>
  <r>
    <x v="1"/>
    <x v="4"/>
    <x v="2"/>
    <x v="2"/>
    <x v="2"/>
    <x v="4"/>
    <n v="38"/>
    <s v="Female"/>
    <x v="0"/>
    <d v="2023-12-31T00:00:00"/>
    <x v="1"/>
    <s v="Confirmed"/>
    <n v="16"/>
    <n v="104"/>
    <n v="33680"/>
    <s v="Credit Card"/>
    <n v="538880"/>
    <n v="71991"/>
    <x v="2"/>
  </r>
  <r>
    <x v="0"/>
    <x v="7"/>
    <x v="7"/>
    <x v="0"/>
    <x v="0"/>
    <x v="5"/>
    <n v="56"/>
    <s v="Male"/>
    <x v="0"/>
    <d v="2022-08-13T00:00:00"/>
    <x v="4"/>
    <s v="Pending"/>
    <n v="20"/>
    <n v="93"/>
    <n v="2344"/>
    <s v="Online"/>
    <n v="46880"/>
    <n v="44301.599999999999"/>
    <x v="0"/>
  </r>
  <r>
    <x v="0"/>
    <x v="0"/>
    <x v="2"/>
    <x v="2"/>
    <x v="2"/>
    <x v="6"/>
    <n v="68"/>
    <s v="Male"/>
    <x v="0"/>
    <d v="2022-01-23T00:00:00"/>
    <x v="6"/>
    <s v="Confirmed"/>
    <n v="76"/>
    <n v="110"/>
    <n v="161408"/>
    <s v="Online"/>
    <n v="12267008"/>
    <n v="43882.799999999996"/>
    <x v="2"/>
  </r>
  <r>
    <x v="1"/>
    <x v="6"/>
    <x v="2"/>
    <x v="2"/>
    <x v="2"/>
    <x v="7"/>
    <n v="50"/>
    <s v="Male"/>
    <x v="0"/>
    <d v="2023-03-04T00:00:00"/>
    <x v="3"/>
    <s v="Confirmed"/>
    <n v="20"/>
    <n v="81"/>
    <n v="114744"/>
    <s v="Online"/>
    <n v="2294880"/>
    <n v="58806.299999999996"/>
    <x v="2"/>
  </r>
  <r>
    <x v="0"/>
    <x v="4"/>
    <x v="2"/>
    <x v="2"/>
    <x v="2"/>
    <x v="8"/>
    <n v="46"/>
    <s v="Female"/>
    <x v="0"/>
    <d v="2022-12-11T00:00:00"/>
    <x v="4"/>
    <s v="Confirmed"/>
    <n v="32"/>
    <n v="101"/>
    <n v="7104"/>
    <s v="Credit Card"/>
    <n v="227328"/>
    <n v="166233.60000000001"/>
    <x v="2"/>
  </r>
  <r>
    <x v="0"/>
    <x v="2"/>
    <x v="5"/>
    <x v="4"/>
    <x v="4"/>
    <x v="9"/>
    <n v="47"/>
    <s v="Male"/>
    <x v="0"/>
    <d v="2022-06-15T00:00:00"/>
    <x v="0"/>
    <s v="Cancelled"/>
    <n v="15"/>
    <n v="120"/>
    <n v="5655"/>
    <s v="Debit Card"/>
    <n v="84825"/>
    <n v="62770.5"/>
    <x v="4"/>
  </r>
  <r>
    <x v="1"/>
    <x v="7"/>
    <x v="6"/>
    <x v="0"/>
    <x v="0"/>
    <x v="10"/>
    <n v="26"/>
    <s v="Male"/>
    <x v="0"/>
    <d v="2023-08-10T00:00:00"/>
    <x v="0"/>
    <s v="Cancelled"/>
    <n v="7"/>
    <n v="119"/>
    <n v="7802"/>
    <s v="Online"/>
    <n v="54614"/>
    <n v="16384.2"/>
    <x v="0"/>
  </r>
  <r>
    <x v="1"/>
    <x v="1"/>
    <x v="5"/>
    <x v="4"/>
    <x v="4"/>
    <x v="11"/>
    <n v="55"/>
    <s v="Male"/>
    <x v="0"/>
    <d v="2023-04-25T00:00:00"/>
    <x v="6"/>
    <s v="Cancelled"/>
    <n v="7"/>
    <n v="84"/>
    <n v="19840"/>
    <s v="Debit Card"/>
    <n v="138880"/>
    <n v="2976"/>
    <x v="4"/>
  </r>
  <r>
    <x v="1"/>
    <x v="2"/>
    <x v="5"/>
    <x v="4"/>
    <x v="4"/>
    <x v="12"/>
    <n v="57"/>
    <s v="Female"/>
    <x v="0"/>
    <d v="2023-06-11T00:00:00"/>
    <x v="5"/>
    <s v="Confirmed"/>
    <n v="40"/>
    <n v="97"/>
    <n v="50560"/>
    <s v="Debit Card"/>
    <n v="2022400"/>
    <n v="77517"/>
    <x v="4"/>
  </r>
  <r>
    <x v="0"/>
    <x v="2"/>
    <x v="2"/>
    <x v="2"/>
    <x v="2"/>
    <x v="13"/>
    <n v="69"/>
    <s v="Female"/>
    <x v="0"/>
    <d v="2022-06-03T00:00:00"/>
    <x v="4"/>
    <s v="Confirmed"/>
    <n v="37"/>
    <n v="107"/>
    <n v="4351"/>
    <s v="Online"/>
    <n v="160987"/>
    <n v="118782.29999999999"/>
    <x v="2"/>
  </r>
  <r>
    <x v="0"/>
    <x v="7"/>
    <x v="5"/>
    <x v="4"/>
    <x v="4"/>
    <x v="14"/>
    <n v="23"/>
    <s v="Male"/>
    <x v="0"/>
    <d v="2022-08-17T00:00:00"/>
    <x v="3"/>
    <s v="Confirmed"/>
    <n v="10"/>
    <n v="97"/>
    <n v="118152"/>
    <s v="Debit Card"/>
    <n v="1181520"/>
    <n v="146213.1"/>
    <x v="4"/>
  </r>
  <r>
    <x v="0"/>
    <x v="7"/>
    <x v="7"/>
    <x v="3"/>
    <x v="3"/>
    <x v="15"/>
    <n v="54"/>
    <s v="Female"/>
    <x v="0"/>
    <d v="2022-08-03T00:00:00"/>
    <x v="5"/>
    <s v="Confirmed"/>
    <n v="28"/>
    <n v="123"/>
    <n v="52768"/>
    <s v="Debit Card"/>
    <n v="1477504"/>
    <n v="117463.2"/>
    <x v="3"/>
  </r>
  <r>
    <x v="1"/>
    <x v="10"/>
    <x v="2"/>
    <x v="0"/>
    <x v="0"/>
    <x v="16"/>
    <n v="62"/>
    <s v="Female"/>
    <x v="0"/>
    <d v="2023-07-18T00:00:00"/>
    <x v="1"/>
    <s v="Confirmed"/>
    <n v="24"/>
    <n v="104"/>
    <n v="26616"/>
    <s v="Online"/>
    <n v="638784"/>
    <n v="58887.9"/>
    <x v="0"/>
  </r>
  <r>
    <x v="1"/>
    <x v="2"/>
    <x v="7"/>
    <x v="3"/>
    <x v="3"/>
    <x v="17"/>
    <n v="68"/>
    <s v="Male"/>
    <x v="0"/>
    <d v="2023-06-22T00:00:00"/>
    <x v="5"/>
    <s v="Cancelled"/>
    <n v="28"/>
    <n v="99"/>
    <n v="23616"/>
    <s v="Cash"/>
    <n v="661248"/>
    <n v="31350.3"/>
    <x v="3"/>
  </r>
  <r>
    <x v="0"/>
    <x v="2"/>
    <x v="5"/>
    <x v="4"/>
    <x v="4"/>
    <x v="18"/>
    <n v="38"/>
    <s v="Male"/>
    <x v="0"/>
    <d v="2022-06-27T00:00:00"/>
    <x v="2"/>
    <s v="Confirmed"/>
    <n v="30"/>
    <n v="84"/>
    <n v="7804"/>
    <s v="Online"/>
    <n v="234120"/>
    <n v="173248.8"/>
    <x v="4"/>
  </r>
  <r>
    <x v="0"/>
    <x v="6"/>
    <x v="2"/>
    <x v="0"/>
    <x v="0"/>
    <x v="19"/>
    <n v="40"/>
    <s v="Male"/>
    <x v="0"/>
    <d v="2022-03-09T00:00:00"/>
    <x v="0"/>
    <s v="Cancelled"/>
    <n v="10"/>
    <n v="118"/>
    <n v="9387"/>
    <s v="Debit Card"/>
    <n v="93870"/>
    <n v="67586.399999999994"/>
    <x v="0"/>
  </r>
  <r>
    <x v="0"/>
    <x v="5"/>
    <x v="5"/>
    <x v="4"/>
    <x v="4"/>
    <x v="20"/>
    <n v="20"/>
    <s v="Female"/>
    <x v="0"/>
    <d v="2022-09-06T00:00:00"/>
    <x v="2"/>
    <s v="Pending"/>
    <n v="19"/>
    <n v="83"/>
    <n v="6073"/>
    <s v="Online"/>
    <n v="115387"/>
    <n v="83807.399999999994"/>
    <x v="4"/>
  </r>
  <r>
    <x v="1"/>
    <x v="3"/>
    <x v="5"/>
    <x v="4"/>
    <x v="4"/>
    <x v="21"/>
    <n v="72"/>
    <s v="Female"/>
    <x v="1"/>
    <d v="2023-10-07T00:00:00"/>
    <x v="4"/>
    <s v="Cancelled"/>
    <n v="32"/>
    <n v="83"/>
    <n v="1924"/>
    <s v="Credit Card"/>
    <n v="61568"/>
    <n v="45021.599999999999"/>
    <x v="4"/>
  </r>
  <r>
    <x v="1"/>
    <x v="7"/>
    <x v="2"/>
    <x v="2"/>
    <x v="2"/>
    <x v="22"/>
    <n v="55"/>
    <s v="Male"/>
    <x v="1"/>
    <d v="2023-08-24T00:00:00"/>
    <x v="0"/>
    <s v="Pending"/>
    <n v="34"/>
    <n v="114"/>
    <n v="2871"/>
    <s v="Debit Card"/>
    <n v="97614"/>
    <n v="71487.899999999994"/>
    <x v="2"/>
  </r>
  <r>
    <x v="1"/>
    <x v="11"/>
    <x v="5"/>
    <x v="4"/>
    <x v="4"/>
    <x v="23"/>
    <n v="60"/>
    <s v="Female"/>
    <x v="1"/>
    <d v="2023-02-06T00:00:00"/>
    <x v="3"/>
    <s v="Cancelled"/>
    <n v="26"/>
    <n v="112"/>
    <n v="119736"/>
    <s v="Online"/>
    <n v="3113136"/>
    <n v="94292.099999999991"/>
    <x v="4"/>
  </r>
  <r>
    <x v="0"/>
    <x v="2"/>
    <x v="7"/>
    <x v="3"/>
    <x v="3"/>
    <x v="24"/>
    <n v="52"/>
    <s v="Male"/>
    <x v="1"/>
    <d v="2022-06-26T00:00:00"/>
    <x v="2"/>
    <s v="Cancelled"/>
    <n v="15"/>
    <n v="106"/>
    <n v="8278"/>
    <s v="Online"/>
    <n v="124170"/>
    <n v="89402.4"/>
    <x v="3"/>
  </r>
  <r>
    <x v="0"/>
    <x v="9"/>
    <x v="1"/>
    <x v="1"/>
    <x v="1"/>
    <x v="25"/>
    <n v="20"/>
    <s v="Male"/>
    <x v="0"/>
    <d v="2022-11-01T00:00:00"/>
    <x v="2"/>
    <s v="Pending"/>
    <n v="19"/>
    <n v="125"/>
    <n v="7364"/>
    <s v="Online"/>
    <n v="139916"/>
    <n v="46393.2"/>
    <x v="1"/>
  </r>
  <r>
    <x v="0"/>
    <x v="10"/>
    <x v="5"/>
    <x v="4"/>
    <x v="4"/>
    <x v="26"/>
    <n v="27"/>
    <s v="Male"/>
    <x v="0"/>
    <d v="2022-07-04T00:00:00"/>
    <x v="3"/>
    <s v="Cancelled"/>
    <n v="6"/>
    <n v="94"/>
    <n v="122880"/>
    <s v="Credit Card"/>
    <n v="737280"/>
    <n v="19968"/>
    <x v="4"/>
  </r>
  <r>
    <x v="0"/>
    <x v="4"/>
    <x v="0"/>
    <x v="0"/>
    <x v="0"/>
    <x v="27"/>
    <n v="35"/>
    <s v="Male"/>
    <x v="0"/>
    <d v="2022-12-12T00:00:00"/>
    <x v="3"/>
    <s v="Pending"/>
    <n v="16"/>
    <n v="119"/>
    <n v="116352"/>
    <s v="Cash"/>
    <n v="1861632"/>
    <n v="91627.199999999997"/>
    <x v="0"/>
  </r>
  <r>
    <x v="1"/>
    <x v="0"/>
    <x v="5"/>
    <x v="4"/>
    <x v="4"/>
    <x v="0"/>
    <n v="44"/>
    <s v="Male"/>
    <x v="1"/>
    <d v="2023-01-22T00:00:00"/>
    <x v="5"/>
    <s v="Confirmed"/>
    <n v="32"/>
    <n v="80"/>
    <n v="72768"/>
    <s v="Cash"/>
    <n v="2328576"/>
    <n v="166089.60000000001"/>
    <x v="4"/>
  </r>
  <r>
    <x v="0"/>
    <x v="4"/>
    <x v="5"/>
    <x v="0"/>
    <x v="0"/>
    <x v="1"/>
    <n v="63"/>
    <s v="Male"/>
    <x v="1"/>
    <d v="2022-12-31T00:00:00"/>
    <x v="3"/>
    <s v="Confirmed"/>
    <n v="38"/>
    <n v="115"/>
    <n v="132480"/>
    <s v="Online"/>
    <n v="5034240"/>
    <n v="157320"/>
    <x v="0"/>
  </r>
  <r>
    <x v="0"/>
    <x v="8"/>
    <x v="4"/>
    <x v="0"/>
    <x v="0"/>
    <x v="2"/>
    <n v="37"/>
    <s v="Male"/>
    <x v="0"/>
    <d v="2022-05-20T00:00:00"/>
    <x v="6"/>
    <s v="Pending"/>
    <n v="38"/>
    <n v="115"/>
    <n v="241984"/>
    <s v="Online"/>
    <n v="9195392"/>
    <n v="215517"/>
    <x v="0"/>
  </r>
  <r>
    <x v="1"/>
    <x v="8"/>
    <x v="2"/>
    <x v="2"/>
    <x v="2"/>
    <x v="3"/>
    <n v="23"/>
    <s v="Male"/>
    <x v="1"/>
    <d v="2023-05-12T00:00:00"/>
    <x v="1"/>
    <s v="Confirmed"/>
    <n v="71"/>
    <n v="77"/>
    <n v="29216"/>
    <s v="Online"/>
    <n v="2074336"/>
    <n v="4382.3999999999996"/>
    <x v="2"/>
  </r>
  <r>
    <x v="0"/>
    <x v="5"/>
    <x v="3"/>
    <x v="3"/>
    <x v="3"/>
    <x v="4"/>
    <n v="27"/>
    <s v="Male"/>
    <x v="1"/>
    <d v="2022-09-20T00:00:00"/>
    <x v="5"/>
    <s v="Confirmed"/>
    <n v="13"/>
    <n v="107"/>
    <n v="119616"/>
    <s v="Cash"/>
    <n v="1555008"/>
    <n v="11587.8"/>
    <x v="3"/>
  </r>
  <r>
    <x v="0"/>
    <x v="2"/>
    <x v="2"/>
    <x v="2"/>
    <x v="2"/>
    <x v="5"/>
    <n v="69"/>
    <s v="Male"/>
    <x v="1"/>
    <d v="2022-06-06T00:00:00"/>
    <x v="6"/>
    <s v="Pending"/>
    <n v="28"/>
    <n v="79"/>
    <n v="31040"/>
    <s v="Online"/>
    <n v="869120"/>
    <n v="6693"/>
    <x v="2"/>
  </r>
  <r>
    <x v="0"/>
    <x v="1"/>
    <x v="5"/>
    <x v="4"/>
    <x v="4"/>
    <x v="6"/>
    <n v="29"/>
    <s v="Male"/>
    <x v="1"/>
    <d v="2022-04-23T00:00:00"/>
    <x v="1"/>
    <s v="Confirmed"/>
    <n v="24"/>
    <n v="116"/>
    <n v="29832"/>
    <s v="Online"/>
    <n v="715968"/>
    <n v="64884.6"/>
    <x v="4"/>
  </r>
  <r>
    <x v="1"/>
    <x v="7"/>
    <x v="2"/>
    <x v="2"/>
    <x v="2"/>
    <x v="7"/>
    <n v="43"/>
    <s v="Female"/>
    <x v="0"/>
    <d v="2023-08-07T00:00:00"/>
    <x v="4"/>
    <s v="Confirmed"/>
    <n v="27"/>
    <n v="93"/>
    <n v="7325"/>
    <s v="Cash"/>
    <n v="197775"/>
    <n v="145035"/>
    <x v="2"/>
  </r>
  <r>
    <x v="0"/>
    <x v="1"/>
    <x v="5"/>
    <x v="0"/>
    <x v="0"/>
    <x v="8"/>
    <n v="40"/>
    <s v="Male"/>
    <x v="0"/>
    <d v="2022-04-16T00:00:00"/>
    <x v="3"/>
    <s v="Cancelled"/>
    <n v="29"/>
    <n v="97"/>
    <n v="116568"/>
    <s v="Online"/>
    <n v="3380472"/>
    <n v="104911.2"/>
    <x v="0"/>
  </r>
  <r>
    <x v="1"/>
    <x v="7"/>
    <x v="6"/>
    <x v="0"/>
    <x v="0"/>
    <x v="9"/>
    <n v="33"/>
    <s v="Male"/>
    <x v="1"/>
    <d v="2023-08-12T00:00:00"/>
    <x v="3"/>
    <s v="Cancelled"/>
    <n v="22"/>
    <n v="80"/>
    <n v="53736"/>
    <s v="Cash"/>
    <n v="1182192"/>
    <n v="36943.5"/>
    <x v="0"/>
  </r>
  <r>
    <x v="1"/>
    <x v="8"/>
    <x v="0"/>
    <x v="0"/>
    <x v="0"/>
    <x v="10"/>
    <n v="31"/>
    <s v="Male"/>
    <x v="0"/>
    <d v="2023-05-24T00:00:00"/>
    <x v="5"/>
    <s v="Confirmed"/>
    <n v="10"/>
    <n v="117"/>
    <n v="219168"/>
    <s v="Debit Card"/>
    <n v="2191680"/>
    <n v="17122.5"/>
    <x v="0"/>
  </r>
  <r>
    <x v="0"/>
    <x v="8"/>
    <x v="5"/>
    <x v="4"/>
    <x v="4"/>
    <x v="11"/>
    <n v="61"/>
    <s v="Male"/>
    <x v="1"/>
    <d v="2022-05-31T00:00:00"/>
    <x v="4"/>
    <s v="Pending"/>
    <n v="28"/>
    <n v="86"/>
    <n v="2690"/>
    <s v="Debit Card"/>
    <n v="75320"/>
    <n v="54876"/>
    <x v="4"/>
  </r>
  <r>
    <x v="0"/>
    <x v="9"/>
    <x v="5"/>
    <x v="4"/>
    <x v="4"/>
    <x v="12"/>
    <n v="32"/>
    <s v="Male"/>
    <x v="0"/>
    <d v="2022-11-04T00:00:00"/>
    <x v="4"/>
    <s v="Pending"/>
    <n v="1"/>
    <n v="96"/>
    <n v="2458"/>
    <s v="Online"/>
    <n v="2458"/>
    <n v="1474.8"/>
    <x v="4"/>
  </r>
  <r>
    <x v="1"/>
    <x v="6"/>
    <x v="7"/>
    <x v="0"/>
    <x v="0"/>
    <x v="13"/>
    <n v="72"/>
    <s v="Female"/>
    <x v="0"/>
    <d v="2023-03-14T00:00:00"/>
    <x v="2"/>
    <s v="Pending"/>
    <n v="4"/>
    <n v="89"/>
    <n v="2398"/>
    <s v="Credit Card"/>
    <n v="9592"/>
    <n v="5755.2"/>
    <x v="0"/>
  </r>
  <r>
    <x v="0"/>
    <x v="2"/>
    <x v="2"/>
    <x v="2"/>
    <x v="6"/>
    <x v="14"/>
    <n v="21"/>
    <s v="Female"/>
    <x v="1"/>
    <d v="2022-06-09T00:00:00"/>
    <x v="1"/>
    <s v="Confirmed"/>
    <n v="20"/>
    <n v="123"/>
    <n v="26016"/>
    <s v="Online"/>
    <n v="520320"/>
    <n v="26341.200000000001"/>
    <x v="2"/>
  </r>
  <r>
    <x v="1"/>
    <x v="5"/>
    <x v="2"/>
    <x v="2"/>
    <x v="6"/>
    <x v="15"/>
    <n v="22"/>
    <s v="Male"/>
    <x v="0"/>
    <d v="2023-09-15T00:00:00"/>
    <x v="0"/>
    <s v="Cancelled"/>
    <n v="22"/>
    <n v="123"/>
    <n v="7380"/>
    <s v="Online"/>
    <n v="162360"/>
    <n v="121770"/>
    <x v="2"/>
  </r>
  <r>
    <x v="1"/>
    <x v="8"/>
    <x v="2"/>
    <x v="2"/>
    <x v="6"/>
    <x v="16"/>
    <n v="56"/>
    <s v="Female"/>
    <x v="0"/>
    <d v="2023-05-16T00:00:00"/>
    <x v="1"/>
    <s v="Cancelled"/>
    <n v="25"/>
    <n v="109"/>
    <n v="42008"/>
    <s v="Credit Card"/>
    <n v="1050200"/>
    <n v="97668.599999999991"/>
    <x v="2"/>
  </r>
  <r>
    <x v="1"/>
    <x v="4"/>
    <x v="2"/>
    <x v="2"/>
    <x v="6"/>
    <x v="17"/>
    <n v="56"/>
    <s v="Female"/>
    <x v="0"/>
    <d v="2023-12-02T00:00:00"/>
    <x v="2"/>
    <s v="Confirmed"/>
    <n v="38"/>
    <n v="113"/>
    <n v="5517"/>
    <s v="Debit Card"/>
    <n v="209646"/>
    <n v="122477.4"/>
    <x v="2"/>
  </r>
  <r>
    <x v="1"/>
    <x v="9"/>
    <x v="2"/>
    <x v="2"/>
    <x v="6"/>
    <x v="18"/>
    <n v="52"/>
    <s v="Male"/>
    <x v="0"/>
    <d v="2023-11-19T00:00:00"/>
    <x v="2"/>
    <s v="Cancelled"/>
    <n v="24"/>
    <n v="121"/>
    <n v="8790"/>
    <s v="Credit Card"/>
    <n v="210960"/>
    <n v="152946"/>
    <x v="2"/>
  </r>
  <r>
    <x v="1"/>
    <x v="9"/>
    <x v="2"/>
    <x v="2"/>
    <x v="6"/>
    <x v="19"/>
    <n v="64"/>
    <s v="Female"/>
    <x v="0"/>
    <d v="2023-11-13T00:00:00"/>
    <x v="2"/>
    <s v="Confirmed"/>
    <n v="27"/>
    <n v="118"/>
    <n v="6681"/>
    <s v="Cash"/>
    <n v="180387"/>
    <n v="132283.79999999999"/>
    <x v="2"/>
  </r>
  <r>
    <x v="1"/>
    <x v="4"/>
    <x v="2"/>
    <x v="2"/>
    <x v="6"/>
    <x v="20"/>
    <n v="22"/>
    <s v="Female"/>
    <x v="0"/>
    <d v="2023-12-31T00:00:00"/>
    <x v="1"/>
    <s v="Confirmed"/>
    <n v="16"/>
    <n v="104"/>
    <n v="33680"/>
    <s v="Credit Card"/>
    <n v="538880"/>
    <n v="71991"/>
    <x v="2"/>
  </r>
  <r>
    <x v="0"/>
    <x v="0"/>
    <x v="2"/>
    <x v="2"/>
    <x v="6"/>
    <x v="21"/>
    <n v="49"/>
    <s v="Male"/>
    <x v="0"/>
    <d v="2022-01-23T00:00:00"/>
    <x v="6"/>
    <s v="Confirmed"/>
    <n v="37"/>
    <n v="110"/>
    <n v="161408"/>
    <s v="Online"/>
    <n v="5972096"/>
    <n v="43882.799999999996"/>
    <x v="2"/>
  </r>
  <r>
    <x v="1"/>
    <x v="6"/>
    <x v="2"/>
    <x v="2"/>
    <x v="6"/>
    <x v="22"/>
    <n v="46"/>
    <s v="Male"/>
    <x v="0"/>
    <d v="2023-03-04T00:00:00"/>
    <x v="3"/>
    <s v="Confirmed"/>
    <n v="22"/>
    <n v="81"/>
    <n v="114744"/>
    <s v="Online"/>
    <n v="2524368"/>
    <n v="58806.299999999996"/>
    <x v="2"/>
  </r>
  <r>
    <x v="1"/>
    <x v="5"/>
    <x v="1"/>
    <x v="0"/>
    <x v="7"/>
    <x v="23"/>
    <n v="60"/>
    <s v="Male"/>
    <x v="0"/>
    <d v="2023-09-02T00:00:00"/>
    <x v="3"/>
    <s v="Pending"/>
    <n v="43"/>
    <n v="104"/>
    <n v="93888"/>
    <s v="Debit Card"/>
    <n v="4037184"/>
    <n v="96235.199999999997"/>
    <x v="0"/>
  </r>
  <r>
    <x v="0"/>
    <x v="7"/>
    <x v="7"/>
    <x v="0"/>
    <x v="7"/>
    <x v="24"/>
    <n v="56"/>
    <s v="Male"/>
    <x v="1"/>
    <d v="2022-08-13T00:00:00"/>
    <x v="4"/>
    <s v="Pending"/>
    <n v="20"/>
    <n v="93"/>
    <n v="2344"/>
    <s v="Online"/>
    <n v="46880"/>
    <n v="44301.599999999999"/>
    <x v="0"/>
  </r>
  <r>
    <x v="1"/>
    <x v="7"/>
    <x v="6"/>
    <x v="0"/>
    <x v="7"/>
    <x v="25"/>
    <n v="26"/>
    <s v="Male"/>
    <x v="1"/>
    <d v="2023-08-10T00:00:00"/>
    <x v="0"/>
    <s v="Cancelled"/>
    <n v="28"/>
    <n v="119"/>
    <n v="7802"/>
    <s v="Online"/>
    <n v="218456"/>
    <n v="16384.2"/>
    <x v="0"/>
  </r>
  <r>
    <x v="1"/>
    <x v="10"/>
    <x v="2"/>
    <x v="0"/>
    <x v="7"/>
    <x v="26"/>
    <n v="62"/>
    <s v="Female"/>
    <x v="0"/>
    <d v="2023-07-18T00:00:00"/>
    <x v="1"/>
    <s v="Confirmed"/>
    <n v="24"/>
    <n v="104"/>
    <n v="26616"/>
    <s v="Online"/>
    <n v="638784"/>
    <n v="58887.9"/>
    <x v="0"/>
  </r>
  <r>
    <x v="0"/>
    <x v="6"/>
    <x v="2"/>
    <x v="0"/>
    <x v="7"/>
    <x v="27"/>
    <n v="40"/>
    <s v="Male"/>
    <x v="1"/>
    <d v="2022-03-09T00:00:00"/>
    <x v="0"/>
    <s v="Cancelled"/>
    <n v="32"/>
    <n v="118"/>
    <n v="9387"/>
    <s v="Debit Card"/>
    <n v="300384"/>
    <n v="67586.399999999994"/>
    <x v="0"/>
  </r>
  <r>
    <x v="0"/>
    <x v="4"/>
    <x v="0"/>
    <x v="0"/>
    <x v="7"/>
    <x v="0"/>
    <n v="35"/>
    <s v="Male"/>
    <x v="0"/>
    <d v="2022-12-12T00:00:00"/>
    <x v="3"/>
    <s v="Pending"/>
    <n v="26"/>
    <n v="119"/>
    <n v="116352"/>
    <s v="Cash"/>
    <n v="3025152"/>
    <n v="91627.199999999997"/>
    <x v="0"/>
  </r>
  <r>
    <x v="0"/>
    <x v="4"/>
    <x v="5"/>
    <x v="0"/>
    <x v="7"/>
    <x v="1"/>
    <n v="63"/>
    <s v="Male"/>
    <x v="0"/>
    <d v="2022-12-31T00:00:00"/>
    <x v="3"/>
    <s v="Confirmed"/>
    <n v="38"/>
    <n v="115"/>
    <n v="132480"/>
    <s v="Online"/>
    <n v="5034240"/>
    <n v="157320"/>
    <x v="0"/>
  </r>
  <r>
    <x v="0"/>
    <x v="8"/>
    <x v="4"/>
    <x v="0"/>
    <x v="7"/>
    <x v="2"/>
    <n v="37"/>
    <s v="Male"/>
    <x v="0"/>
    <d v="2022-05-20T00:00:00"/>
    <x v="6"/>
    <s v="Pending"/>
    <n v="38"/>
    <n v="115"/>
    <n v="241984"/>
    <s v="Online"/>
    <n v="9195392"/>
    <n v="215517"/>
    <x v="0"/>
  </r>
  <r>
    <x v="0"/>
    <x v="1"/>
    <x v="5"/>
    <x v="0"/>
    <x v="7"/>
    <x v="3"/>
    <n v="40"/>
    <s v="Male"/>
    <x v="0"/>
    <d v="2022-04-16T00:00:00"/>
    <x v="3"/>
    <s v="Cancelled"/>
    <n v="29"/>
    <n v="97"/>
    <n v="116568"/>
    <s v="Online"/>
    <n v="3380472"/>
    <n v="104911.2"/>
    <x v="0"/>
  </r>
  <r>
    <x v="1"/>
    <x v="7"/>
    <x v="6"/>
    <x v="0"/>
    <x v="7"/>
    <x v="4"/>
    <n v="33"/>
    <s v="Male"/>
    <x v="1"/>
    <d v="2023-08-12T00:00:00"/>
    <x v="3"/>
    <s v="Cancelled"/>
    <n v="22"/>
    <n v="80"/>
    <n v="53736"/>
    <s v="Cash"/>
    <n v="1182192"/>
    <n v="36943.5"/>
    <x v="0"/>
  </r>
  <r>
    <x v="1"/>
    <x v="8"/>
    <x v="0"/>
    <x v="0"/>
    <x v="7"/>
    <x v="5"/>
    <n v="31"/>
    <s v="Male"/>
    <x v="1"/>
    <d v="2023-05-24T00:00:00"/>
    <x v="5"/>
    <s v="Confirmed"/>
    <n v="10"/>
    <n v="117"/>
    <n v="219168"/>
    <s v="Debit Card"/>
    <n v="2191680"/>
    <n v="17122.5"/>
    <x v="0"/>
  </r>
  <r>
    <x v="1"/>
    <x v="6"/>
    <x v="7"/>
    <x v="0"/>
    <x v="7"/>
    <x v="6"/>
    <n v="72"/>
    <s v="Female"/>
    <x v="0"/>
    <d v="2023-03-14T00:00:00"/>
    <x v="2"/>
    <s v="Pending"/>
    <n v="4"/>
    <n v="89"/>
    <n v="2398"/>
    <s v="Credit Card"/>
    <n v="9592"/>
    <n v="5755.2"/>
    <x v="0"/>
  </r>
  <r>
    <x v="0"/>
    <x v="6"/>
    <x v="0"/>
    <x v="5"/>
    <x v="8"/>
    <x v="7"/>
    <n v="64"/>
    <s v="Female"/>
    <x v="0"/>
    <d v="2022-03-26T00:00:00"/>
    <x v="0"/>
    <s v="Pending"/>
    <n v="26"/>
    <n v="114"/>
    <n v="3976"/>
    <s v="Cash"/>
    <n v="103376"/>
    <n v="75146.399999999994"/>
    <x v="5"/>
  </r>
  <r>
    <x v="0"/>
    <x v="7"/>
    <x v="1"/>
    <x v="5"/>
    <x v="8"/>
    <x v="8"/>
    <n v="22"/>
    <s v="Male"/>
    <x v="1"/>
    <d v="2022-08-09T00:00:00"/>
    <x v="1"/>
    <s v="Cancelled"/>
    <n v="38"/>
    <n v="105"/>
    <n v="35248"/>
    <s v="Credit Card"/>
    <n v="1339424"/>
    <n v="91204.2"/>
    <x v="5"/>
  </r>
  <r>
    <x v="1"/>
    <x v="8"/>
    <x v="2"/>
    <x v="5"/>
    <x v="8"/>
    <x v="9"/>
    <n v="49"/>
    <s v="Female"/>
    <x v="0"/>
    <d v="2023-05-16T00:00:00"/>
    <x v="1"/>
    <s v="Cancelled"/>
    <n v="25"/>
    <n v="109"/>
    <n v="42008"/>
    <s v="Credit Card"/>
    <n v="1050200"/>
    <n v="97668.599999999991"/>
    <x v="5"/>
  </r>
  <r>
    <x v="0"/>
    <x v="0"/>
    <x v="3"/>
    <x v="5"/>
    <x v="8"/>
    <x v="10"/>
    <n v="46"/>
    <s v="Female"/>
    <x v="0"/>
    <d v="2022-01-15T00:00:00"/>
    <x v="3"/>
    <s v="Pending"/>
    <n v="16"/>
    <n v="99"/>
    <n v="220104"/>
    <s v="Debit Card"/>
    <n v="3521664"/>
    <n v="104549.4"/>
    <x v="5"/>
  </r>
  <r>
    <x v="0"/>
    <x v="3"/>
    <x v="0"/>
    <x v="5"/>
    <x v="8"/>
    <x v="11"/>
    <n v="38"/>
    <s v="Female"/>
    <x v="0"/>
    <d v="2022-10-16T00:00:00"/>
    <x v="4"/>
    <s v="Pending"/>
    <n v="38"/>
    <n v="115"/>
    <n v="9707"/>
    <s v="Debit Card"/>
    <n v="368866"/>
    <n v="270825.3"/>
    <x v="5"/>
  </r>
  <r>
    <x v="1"/>
    <x v="5"/>
    <x v="0"/>
    <x v="5"/>
    <x v="8"/>
    <x v="12"/>
    <n v="45"/>
    <s v="Female"/>
    <x v="0"/>
    <d v="2023-09-13T00:00:00"/>
    <x v="0"/>
    <s v="Pending"/>
    <n v="24"/>
    <n v="80"/>
    <n v="340"/>
    <s v="Online"/>
    <n v="8160"/>
    <n v="6018"/>
    <x v="5"/>
  </r>
  <r>
    <x v="1"/>
    <x v="2"/>
    <x v="1"/>
    <x v="5"/>
    <x v="8"/>
    <x v="13"/>
    <n v="35"/>
    <s v="Male"/>
    <x v="1"/>
    <d v="2023-06-18T00:00:00"/>
    <x v="5"/>
    <s v="Cancelled"/>
    <n v="27"/>
    <n v="109"/>
    <n v="76704"/>
    <s v="Cash"/>
    <n v="2071008"/>
    <n v="86702.7"/>
    <x v="5"/>
  </r>
  <r>
    <x v="0"/>
    <x v="9"/>
    <x v="4"/>
    <x v="5"/>
    <x v="8"/>
    <x v="14"/>
    <n v="56"/>
    <s v="Female"/>
    <x v="1"/>
    <d v="2022-11-27T00:00:00"/>
    <x v="3"/>
    <s v="Confirmed"/>
    <n v="34"/>
    <n v="96"/>
    <n v="17304"/>
    <s v="Online"/>
    <n v="588336"/>
    <n v="17952.899999999998"/>
    <x v="5"/>
  </r>
  <r>
    <x v="1"/>
    <x v="3"/>
    <x v="0"/>
    <x v="5"/>
    <x v="8"/>
    <x v="15"/>
    <n v="56"/>
    <s v="Female"/>
    <x v="0"/>
    <d v="2023-10-03T00:00:00"/>
    <x v="3"/>
    <s v="Cancelled"/>
    <n v="14"/>
    <n v="105"/>
    <n v="155856"/>
    <s v="Online"/>
    <n v="2181984"/>
    <n v="64290.6"/>
    <x v="5"/>
  </r>
  <r>
    <x v="0"/>
    <x v="3"/>
    <x v="0"/>
    <x v="5"/>
    <x v="8"/>
    <x v="16"/>
    <n v="55"/>
    <s v="Female"/>
    <x v="0"/>
    <d v="2022-10-26T00:00:00"/>
    <x v="4"/>
    <s v="Pending"/>
    <n v="21"/>
    <n v="92"/>
    <n v="1945"/>
    <s v="Cash"/>
    <n v="40845"/>
    <n v="19255.5"/>
    <x v="5"/>
  </r>
  <r>
    <x v="1"/>
    <x v="10"/>
    <x v="4"/>
    <x v="5"/>
    <x v="8"/>
    <x v="17"/>
    <n v="19"/>
    <s v="Female"/>
    <x v="1"/>
    <d v="2023-07-31T00:00:00"/>
    <x v="1"/>
    <s v="Confirmed"/>
    <n v="16"/>
    <n v="110"/>
    <n v="75528"/>
    <s v="Debit Card"/>
    <n v="1208448"/>
    <n v="107627.4"/>
    <x v="5"/>
  </r>
  <r>
    <x v="0"/>
    <x v="5"/>
    <x v="3"/>
    <x v="5"/>
    <x v="8"/>
    <x v="18"/>
    <n v="58"/>
    <s v="Female"/>
    <x v="0"/>
    <d v="2022-09-07T00:00:00"/>
    <x v="4"/>
    <s v="Pending"/>
    <n v="4"/>
    <n v="119"/>
    <n v="1683"/>
    <s v="Debit Card"/>
    <n v="6732"/>
    <n v="19691.099999999999"/>
    <x v="5"/>
  </r>
  <r>
    <x v="0"/>
    <x v="0"/>
    <x v="3"/>
    <x v="3"/>
    <x v="9"/>
    <x v="19"/>
    <n v="46"/>
    <s v="Female"/>
    <x v="1"/>
    <d v="2022-01-15T00:00:00"/>
    <x v="3"/>
    <s v="Pending"/>
    <n v="8"/>
    <n v="99"/>
    <n v="220104"/>
    <s v="Debit Card"/>
    <n v="1760832"/>
    <n v="104549.4"/>
    <x v="3"/>
  </r>
  <r>
    <x v="0"/>
    <x v="5"/>
    <x v="3"/>
    <x v="3"/>
    <x v="9"/>
    <x v="20"/>
    <n v="58"/>
    <s v="Female"/>
    <x v="1"/>
    <d v="2022-09-07T00:00:00"/>
    <x v="4"/>
    <s v="Pending"/>
    <n v="8"/>
    <n v="119"/>
    <n v="1683"/>
    <s v="Debit Card"/>
    <n v="13464"/>
    <n v="19691.099999999999"/>
    <x v="3"/>
  </r>
  <r>
    <x v="0"/>
    <x v="7"/>
    <x v="7"/>
    <x v="3"/>
    <x v="9"/>
    <x v="21"/>
    <n v="54"/>
    <s v="Female"/>
    <x v="1"/>
    <d v="2022-08-03T00:00:00"/>
    <x v="5"/>
    <s v="Confirmed"/>
    <n v="28"/>
    <n v="123"/>
    <n v="52768"/>
    <s v="Debit Card"/>
    <n v="1477504"/>
    <n v="117463.2"/>
    <x v="3"/>
  </r>
  <r>
    <x v="1"/>
    <x v="2"/>
    <x v="7"/>
    <x v="3"/>
    <x v="9"/>
    <x v="22"/>
    <n v="68"/>
    <s v="Male"/>
    <x v="0"/>
    <d v="2023-06-22T00:00:00"/>
    <x v="5"/>
    <s v="Cancelled"/>
    <n v="28"/>
    <n v="99"/>
    <n v="23616"/>
    <s v="Cash"/>
    <n v="661248"/>
    <n v="31350.3"/>
    <x v="3"/>
  </r>
  <r>
    <x v="0"/>
    <x v="2"/>
    <x v="7"/>
    <x v="3"/>
    <x v="9"/>
    <x v="23"/>
    <n v="52"/>
    <s v="Male"/>
    <x v="0"/>
    <d v="2022-06-26T00:00:00"/>
    <x v="2"/>
    <s v="Cancelled"/>
    <n v="15"/>
    <n v="106"/>
    <n v="8278"/>
    <s v="Online"/>
    <n v="124170"/>
    <n v="89402.4"/>
    <x v="3"/>
  </r>
  <r>
    <x v="0"/>
    <x v="5"/>
    <x v="3"/>
    <x v="3"/>
    <x v="9"/>
    <x v="24"/>
    <n v="27"/>
    <s v="Male"/>
    <x v="1"/>
    <d v="2022-09-20T00:00:00"/>
    <x v="5"/>
    <s v="Confirmed"/>
    <n v="13"/>
    <n v="107"/>
    <n v="119616"/>
    <s v="Cash"/>
    <n v="1555008"/>
    <n v="11587.8"/>
    <x v="3"/>
  </r>
  <r>
    <x v="0"/>
    <x v="0"/>
    <x v="3"/>
    <x v="3"/>
    <x v="10"/>
    <x v="25"/>
    <n v="46"/>
    <s v="Female"/>
    <x v="1"/>
    <d v="2022-01-15T00:00:00"/>
    <x v="3"/>
    <s v="Pending"/>
    <n v="16"/>
    <n v="99"/>
    <n v="220104"/>
    <s v="Debit Card"/>
    <n v="3521664"/>
    <n v="104549.4"/>
    <x v="3"/>
  </r>
  <r>
    <x v="0"/>
    <x v="5"/>
    <x v="3"/>
    <x v="3"/>
    <x v="10"/>
    <x v="26"/>
    <n v="58"/>
    <s v="Female"/>
    <x v="0"/>
    <d v="2022-09-07T00:00:00"/>
    <x v="4"/>
    <s v="Pending"/>
    <n v="16"/>
    <n v="119"/>
    <n v="1683"/>
    <s v="Debit Card"/>
    <n v="26928"/>
    <n v="19691.099999999999"/>
    <x v="3"/>
  </r>
  <r>
    <x v="0"/>
    <x v="7"/>
    <x v="7"/>
    <x v="3"/>
    <x v="10"/>
    <x v="27"/>
    <n v="54"/>
    <s v="Female"/>
    <x v="1"/>
    <d v="2022-08-03T00:00:00"/>
    <x v="5"/>
    <s v="Confirmed"/>
    <n v="28"/>
    <n v="123"/>
    <n v="52768"/>
    <s v="Debit Card"/>
    <n v="1477504"/>
    <n v="117463.2"/>
    <x v="3"/>
  </r>
  <r>
    <x v="1"/>
    <x v="2"/>
    <x v="7"/>
    <x v="3"/>
    <x v="10"/>
    <x v="0"/>
    <n v="68"/>
    <s v="Male"/>
    <x v="0"/>
    <d v="2023-06-22T00:00:00"/>
    <x v="5"/>
    <s v="Cancelled"/>
    <n v="16"/>
    <n v="99"/>
    <n v="23616"/>
    <s v="Cash"/>
    <n v="377856"/>
    <n v="31350.3"/>
    <x v="3"/>
  </r>
  <r>
    <x v="0"/>
    <x v="2"/>
    <x v="7"/>
    <x v="3"/>
    <x v="10"/>
    <x v="1"/>
    <n v="52"/>
    <s v="Male"/>
    <x v="1"/>
    <d v="2022-06-26T00:00:00"/>
    <x v="2"/>
    <s v="Cancelled"/>
    <n v="15"/>
    <n v="106"/>
    <n v="8278"/>
    <s v="Online"/>
    <n v="124170"/>
    <n v="89402.4"/>
    <x v="3"/>
  </r>
  <r>
    <x v="0"/>
    <x v="5"/>
    <x v="3"/>
    <x v="3"/>
    <x v="10"/>
    <x v="2"/>
    <n v="27"/>
    <s v="Male"/>
    <x v="1"/>
    <d v="2022-09-20T00:00:00"/>
    <x v="5"/>
    <s v="Confirmed"/>
    <n v="6"/>
    <n v="107"/>
    <n v="119616"/>
    <s v="Cash"/>
    <n v="717696"/>
    <n v="11587.8"/>
    <x v="3"/>
  </r>
  <r>
    <x v="0"/>
    <x v="0"/>
    <x v="3"/>
    <x v="3"/>
    <x v="10"/>
    <x v="3"/>
    <n v="46"/>
    <s v="Female"/>
    <x v="0"/>
    <d v="2022-01-15T00:00:00"/>
    <x v="3"/>
    <s v="Pending"/>
    <n v="16"/>
    <n v="99"/>
    <n v="220104"/>
    <s v="Debit Card"/>
    <n v="3521664"/>
    <n v="104549.4"/>
    <x v="3"/>
  </r>
  <r>
    <x v="0"/>
    <x v="5"/>
    <x v="3"/>
    <x v="3"/>
    <x v="10"/>
    <x v="4"/>
    <n v="58"/>
    <s v="Female"/>
    <x v="1"/>
    <d v="2022-09-07T00:00:00"/>
    <x v="4"/>
    <s v="Pending"/>
    <n v="16"/>
    <n v="119"/>
    <n v="1683"/>
    <s v="Debit Card"/>
    <n v="26928"/>
    <n v="19691.099999999999"/>
    <x v="3"/>
  </r>
  <r>
    <x v="0"/>
    <x v="7"/>
    <x v="7"/>
    <x v="3"/>
    <x v="10"/>
    <x v="5"/>
    <n v="54"/>
    <s v="Female"/>
    <x v="1"/>
    <d v="2022-08-03T00:00:00"/>
    <x v="5"/>
    <s v="Confirmed"/>
    <n v="28"/>
    <n v="123"/>
    <n v="252768"/>
    <s v="Debit Card"/>
    <n v="7077504"/>
    <n v="117463.2"/>
    <x v="3"/>
  </r>
  <r>
    <x v="1"/>
    <x v="2"/>
    <x v="7"/>
    <x v="3"/>
    <x v="10"/>
    <x v="6"/>
    <n v="68"/>
    <s v="Male"/>
    <x v="0"/>
    <d v="2023-06-22T00:00:00"/>
    <x v="5"/>
    <s v="Cancelled"/>
    <n v="28"/>
    <n v="99"/>
    <n v="223616"/>
    <s v="Cash"/>
    <n v="6261248"/>
    <n v="31350.3"/>
    <x v="3"/>
  </r>
  <r>
    <x v="0"/>
    <x v="2"/>
    <x v="7"/>
    <x v="3"/>
    <x v="10"/>
    <x v="7"/>
    <n v="52"/>
    <s v="Male"/>
    <x v="0"/>
    <d v="2022-06-26T00:00:00"/>
    <x v="2"/>
    <s v="Cancelled"/>
    <n v="15"/>
    <n v="106"/>
    <n v="8278"/>
    <s v="Online"/>
    <n v="124170"/>
    <n v="89402.4"/>
    <x v="3"/>
  </r>
  <r>
    <x v="0"/>
    <x v="5"/>
    <x v="3"/>
    <x v="3"/>
    <x v="10"/>
    <x v="8"/>
    <n v="27"/>
    <s v="Male"/>
    <x v="0"/>
    <d v="2022-09-20T00:00:00"/>
    <x v="5"/>
    <s v="Confirmed"/>
    <n v="12"/>
    <n v="107"/>
    <n v="119616"/>
    <s v="Cash"/>
    <n v="1435392"/>
    <n v="11587.8"/>
    <x v="3"/>
  </r>
  <r>
    <x v="0"/>
    <x v="1"/>
    <x v="1"/>
    <x v="1"/>
    <x v="11"/>
    <x v="9"/>
    <n v="21"/>
    <s v="Male"/>
    <x v="0"/>
    <d v="2022-04-23T00:00:00"/>
    <x v="0"/>
    <s v="Pending"/>
    <n v="26"/>
    <n v="106"/>
    <n v="3928"/>
    <s v="Credit Card"/>
    <n v="102128"/>
    <n v="44779.199999999997"/>
    <x v="1"/>
  </r>
  <r>
    <x v="0"/>
    <x v="4"/>
    <x v="1"/>
    <x v="1"/>
    <x v="11"/>
    <x v="10"/>
    <n v="56"/>
    <s v="Female"/>
    <x v="0"/>
    <d v="2022-12-19T00:00:00"/>
    <x v="3"/>
    <s v="Pending"/>
    <n v="47"/>
    <n v="121"/>
    <n v="173568"/>
    <s v="Cash"/>
    <n v="8157696"/>
    <n v="197433.60000000001"/>
    <x v="1"/>
  </r>
  <r>
    <x v="0"/>
    <x v="7"/>
    <x v="1"/>
    <x v="1"/>
    <x v="11"/>
    <x v="11"/>
    <n v="22"/>
    <s v="Male"/>
    <x v="0"/>
    <d v="2022-08-09T00:00:00"/>
    <x v="1"/>
    <s v="Cancelled"/>
    <n v="38"/>
    <n v="105"/>
    <n v="35248"/>
    <s v="Credit Card"/>
    <n v="1339424"/>
    <n v="91204.2"/>
    <x v="1"/>
  </r>
  <r>
    <x v="1"/>
    <x v="2"/>
    <x v="1"/>
    <x v="1"/>
    <x v="11"/>
    <x v="12"/>
    <n v="35"/>
    <s v="Male"/>
    <x v="0"/>
    <d v="2023-06-18T00:00:00"/>
    <x v="5"/>
    <s v="Cancelled"/>
    <n v="27"/>
    <n v="109"/>
    <n v="76704"/>
    <s v="Cash"/>
    <n v="2071008"/>
    <n v="86702.7"/>
    <x v="1"/>
  </r>
  <r>
    <x v="0"/>
    <x v="9"/>
    <x v="1"/>
    <x v="1"/>
    <x v="11"/>
    <x v="13"/>
    <n v="20"/>
    <s v="Male"/>
    <x v="0"/>
    <d v="2022-11-01T00:00:00"/>
    <x v="2"/>
    <s v="Pending"/>
    <n v="19"/>
    <n v="125"/>
    <n v="7364"/>
    <s v="Online"/>
    <n v="139916"/>
    <n v="46393.2"/>
    <x v="1"/>
  </r>
  <r>
    <x v="0"/>
    <x v="1"/>
    <x v="1"/>
    <x v="1"/>
    <x v="11"/>
    <x v="14"/>
    <n v="21"/>
    <s v="Male"/>
    <x v="0"/>
    <d v="2022-04-23T00:00:00"/>
    <x v="0"/>
    <s v="Pending"/>
    <n v="26"/>
    <n v="106"/>
    <n v="3928"/>
    <s v="Credit Card"/>
    <n v="102128"/>
    <n v="44779.199999999997"/>
    <x v="1"/>
  </r>
  <r>
    <x v="0"/>
    <x v="4"/>
    <x v="1"/>
    <x v="1"/>
    <x v="11"/>
    <x v="15"/>
    <n v="56"/>
    <s v="Female"/>
    <x v="0"/>
    <d v="2022-12-19T00:00:00"/>
    <x v="3"/>
    <s v="Pending"/>
    <n v="47"/>
    <n v="121"/>
    <n v="173568"/>
    <s v="Cash"/>
    <n v="8157696"/>
    <n v="197433.60000000001"/>
    <x v="1"/>
  </r>
  <r>
    <x v="0"/>
    <x v="7"/>
    <x v="1"/>
    <x v="1"/>
    <x v="11"/>
    <x v="16"/>
    <n v="22"/>
    <s v="Male"/>
    <x v="1"/>
    <d v="2022-08-09T00:00:00"/>
    <x v="1"/>
    <s v="Cancelled"/>
    <n v="38"/>
    <n v="105"/>
    <n v="35248"/>
    <s v="Credit Card"/>
    <n v="1339424"/>
    <n v="91204.2"/>
    <x v="1"/>
  </r>
  <r>
    <x v="1"/>
    <x v="2"/>
    <x v="1"/>
    <x v="1"/>
    <x v="11"/>
    <x v="17"/>
    <n v="35"/>
    <s v="Male"/>
    <x v="1"/>
    <d v="2023-06-18T00:00:00"/>
    <x v="5"/>
    <s v="Cancelled"/>
    <n v="27"/>
    <n v="109"/>
    <n v="76704"/>
    <s v="Cash"/>
    <n v="2071008"/>
    <n v="86702.7"/>
    <x v="1"/>
  </r>
  <r>
    <x v="0"/>
    <x v="9"/>
    <x v="1"/>
    <x v="1"/>
    <x v="11"/>
    <x v="18"/>
    <n v="20"/>
    <s v="Male"/>
    <x v="0"/>
    <d v="2022-11-01T00:00:00"/>
    <x v="2"/>
    <s v="Pending"/>
    <n v="19"/>
    <n v="125"/>
    <n v="7364"/>
    <s v="Online"/>
    <n v="139916"/>
    <n v="46393.2"/>
    <x v="1"/>
  </r>
  <r>
    <x v="0"/>
    <x v="11"/>
    <x v="0"/>
    <x v="0"/>
    <x v="0"/>
    <x v="0"/>
    <n v="37"/>
    <s v="Female"/>
    <x v="0"/>
    <d v="2022-02-09T00:00:00"/>
    <x v="0"/>
    <s v="Cancelled"/>
    <n v="16"/>
    <n v="99"/>
    <n v="4867"/>
    <s v="Online"/>
    <n v="77872"/>
    <n v="32122.199999999997"/>
    <x v="0"/>
  </r>
  <r>
    <x v="0"/>
    <x v="11"/>
    <x v="3"/>
    <x v="3"/>
    <x v="3"/>
    <x v="9"/>
    <n v="46"/>
    <s v="Female"/>
    <x v="1"/>
    <d v="2022-02-15T00:00:00"/>
    <x v="3"/>
    <s v="Pending"/>
    <n v="16"/>
    <n v="99"/>
    <n v="20104"/>
    <s v="Debit Card"/>
    <n v="321664"/>
    <n v="104549.4"/>
    <x v="3"/>
  </r>
  <r>
    <x v="0"/>
    <x v="11"/>
    <x v="4"/>
    <x v="4"/>
    <x v="4"/>
    <x v="22"/>
    <n v="21"/>
    <s v="Female"/>
    <x v="0"/>
    <d v="2022-02-25T00:00:00"/>
    <x v="3"/>
    <s v="Cancelled"/>
    <n v="38"/>
    <n v="92"/>
    <n v="6456"/>
    <s v="Cash"/>
    <n v="245328"/>
    <n v="216755.1"/>
    <x v="4"/>
  </r>
  <r>
    <x v="0"/>
    <x v="11"/>
    <x v="2"/>
    <x v="2"/>
    <x v="2"/>
    <x v="6"/>
    <n v="68"/>
    <s v="Male"/>
    <x v="0"/>
    <d v="2022-02-23T00:00:00"/>
    <x v="6"/>
    <s v="Confirmed"/>
    <n v="76"/>
    <n v="110"/>
    <n v="161408"/>
    <s v="Online"/>
    <n v="12267008"/>
    <n v="43882.799999999996"/>
    <x v="2"/>
  </r>
  <r>
    <x v="0"/>
    <x v="11"/>
    <x v="2"/>
    <x v="2"/>
    <x v="6"/>
    <x v="21"/>
    <n v="49"/>
    <s v="Male"/>
    <x v="0"/>
    <d v="2022-02-23T00:00:00"/>
    <x v="6"/>
    <s v="Confirmed"/>
    <n v="37"/>
    <n v="110"/>
    <n v="161408"/>
    <s v="Online"/>
    <n v="5972096"/>
    <n v="43882.799999999996"/>
    <x v="2"/>
  </r>
  <r>
    <x v="0"/>
    <x v="11"/>
    <x v="3"/>
    <x v="5"/>
    <x v="8"/>
    <x v="10"/>
    <n v="46"/>
    <s v="Female"/>
    <x v="0"/>
    <d v="2022-02-15T00:00:00"/>
    <x v="3"/>
    <s v="Pending"/>
    <n v="16"/>
    <n v="99"/>
    <n v="220104"/>
    <s v="Debit Card"/>
    <n v="3521664"/>
    <n v="104549.4"/>
    <x v="5"/>
  </r>
  <r>
    <x v="0"/>
    <x v="11"/>
    <x v="3"/>
    <x v="3"/>
    <x v="9"/>
    <x v="19"/>
    <n v="46"/>
    <s v="Female"/>
    <x v="1"/>
    <d v="2022-02-15T00:00:00"/>
    <x v="3"/>
    <s v="Pending"/>
    <n v="8"/>
    <n v="99"/>
    <n v="220104"/>
    <s v="Debit Card"/>
    <n v="1760832"/>
    <n v="104549.4"/>
    <x v="3"/>
  </r>
  <r>
    <x v="0"/>
    <x v="11"/>
    <x v="3"/>
    <x v="3"/>
    <x v="10"/>
    <x v="25"/>
    <n v="46"/>
    <s v="Female"/>
    <x v="1"/>
    <d v="2022-02-15T00:00:00"/>
    <x v="3"/>
    <s v="Pending"/>
    <n v="16"/>
    <n v="99"/>
    <n v="220104"/>
    <s v="Debit Card"/>
    <n v="3521664"/>
    <n v="104549.4"/>
    <x v="3"/>
  </r>
  <r>
    <x v="0"/>
    <x v="11"/>
    <x v="3"/>
    <x v="3"/>
    <x v="10"/>
    <x v="3"/>
    <n v="46"/>
    <s v="Female"/>
    <x v="0"/>
    <d v="2022-02-15T00:00:00"/>
    <x v="3"/>
    <s v="Pending"/>
    <n v="16"/>
    <n v="99"/>
    <n v="220104"/>
    <s v="Debit Card"/>
    <n v="3521664"/>
    <n v="104549.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46AC69-339B-49EB-AEA2-D560F518A2F0}"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3:B14" firstHeaderRow="0" firstDataRow="1" firstDataCol="0"/>
  <pivotFields count="19">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showAll="0"/>
    <pivotField dataField="1" showAll="0"/>
    <pivotField dataField="1" showAll="0"/>
    <pivotField numFmtId="164" showAll="0"/>
    <pivotField showAll="0"/>
    <pivotField numFmtId="164" showAll="0"/>
    <pivotField numFmtId="164" showAll="0"/>
    <pivotField showAll="0">
      <items count="7">
        <item x="0"/>
        <item x="2"/>
        <item x="5"/>
        <item x="4"/>
        <item x="1"/>
        <item x="3"/>
        <item t="default"/>
      </items>
    </pivotField>
  </pivotFields>
  <rowItems count="1">
    <i/>
  </rowItems>
  <colFields count="1">
    <field x="-2"/>
  </colFields>
  <colItems count="2">
    <i>
      <x/>
    </i>
    <i i="1">
      <x v="1"/>
    </i>
  </colItems>
  <dataFields count="2">
    <dataField name="Sum of Room Available" fld="13" baseField="0" baseItem="0"/>
    <dataField name="Sum of Room Booked" fld="12"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56F52B-915D-44A8-B0E2-1B7CE5BBBA0B}"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B11" firstHeaderRow="0" firstDataRow="1" firstDataCol="0"/>
  <pivotFields count="19">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dataField="1" numFmtId="164" showAll="0"/>
    <pivotField dataField="1" numFmtId="164" showAll="0"/>
    <pivotField showAll="0">
      <items count="7">
        <item x="0"/>
        <item x="2"/>
        <item x="5"/>
        <item x="4"/>
        <item x="1"/>
        <item x="3"/>
        <item t="default"/>
      </items>
    </pivotField>
  </pivotFields>
  <rowItems count="1">
    <i/>
  </rowItems>
  <colFields count="1">
    <field x="-2"/>
  </colFields>
  <colItems count="2">
    <i>
      <x/>
    </i>
    <i i="1">
      <x v="1"/>
    </i>
  </colItems>
  <dataFields count="2">
    <dataField name="Sum of Total Revenue" fld="16" baseField="0" baseItem="0"/>
    <dataField name="Sum of Profit" fld="17" baseField="0" baseItem="0" numFmtId="1"/>
  </dataFields>
  <formats count="2">
    <format dxfId="2">
      <pivotArea outline="0" collapsedLevelsAreSubtotals="1" fieldPosition="0">
        <references count="1">
          <reference field="4294967294" count="1" selected="0">
            <x v="1"/>
          </reference>
        </references>
      </pivotArea>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DC5608-9B3C-46BE-8F5A-55EF5907881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X6:Y12" firstHeaderRow="1" firstDataRow="1" firstDataCol="1"/>
  <pivotFields count="19">
    <pivotField showAll="0">
      <items count="3">
        <item x="0"/>
        <item x="1"/>
        <item t="default"/>
      </items>
    </pivotField>
    <pivotField showAll="0"/>
    <pivotField showAll="0"/>
    <pivotField showAll="0">
      <items count="7">
        <item x="0"/>
        <item x="2"/>
        <item x="5"/>
        <item x="4"/>
        <item x="1"/>
        <item x="3"/>
        <item t="default"/>
      </items>
    </pivotField>
    <pivotField showAll="0"/>
    <pivotField showAll="0"/>
    <pivotField showAll="0"/>
    <pivotField showAll="0"/>
    <pivotField showAll="0"/>
    <pivotField numFmtId="14" showAll="0"/>
    <pivotField showAll="0"/>
    <pivotField showAll="0"/>
    <pivotField dataField="1" showAll="0"/>
    <pivotField showAll="0"/>
    <pivotField numFmtId="164" showAll="0"/>
    <pivotField showAll="0"/>
    <pivotField numFmtId="164" showAll="0"/>
    <pivotField numFmtId="164" showAll="0"/>
    <pivotField axis="axisRow" showAll="0">
      <items count="7">
        <item x="0"/>
        <item x="2"/>
        <item x="5"/>
        <item x="4"/>
        <item x="1"/>
        <item x="3"/>
        <item t="default"/>
      </items>
    </pivotField>
  </pivotFields>
  <rowFields count="1">
    <field x="18"/>
  </rowFields>
  <rowItems count="6">
    <i>
      <x/>
    </i>
    <i>
      <x v="1"/>
    </i>
    <i>
      <x v="2"/>
    </i>
    <i>
      <x v="3"/>
    </i>
    <i>
      <x v="4"/>
    </i>
    <i>
      <x v="5"/>
    </i>
  </rowItems>
  <colItems count="1">
    <i/>
  </colItems>
  <dataFields count="1">
    <dataField name="Sum of Room Booked" fld="12" baseField="0" baseItem="0"/>
  </dataFields>
  <formats count="1">
    <format dxfId="3">
      <pivotArea outline="0" collapsedLevelsAreSubtotals="1" fieldPosition="0"/>
    </format>
  </formats>
  <chartFormats count="7">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8" count="1" selected="0">
            <x v="0"/>
          </reference>
        </references>
      </pivotArea>
    </chartFormat>
    <chartFormat chart="5" format="10">
      <pivotArea type="data" outline="0" fieldPosition="0">
        <references count="2">
          <reference field="4294967294" count="1" selected="0">
            <x v="0"/>
          </reference>
          <reference field="18" count="1" selected="0">
            <x v="1"/>
          </reference>
        </references>
      </pivotArea>
    </chartFormat>
    <chartFormat chart="5" format="11">
      <pivotArea type="data" outline="0" fieldPosition="0">
        <references count="2">
          <reference field="4294967294" count="1" selected="0">
            <x v="0"/>
          </reference>
          <reference field="18" count="1" selected="0">
            <x v="2"/>
          </reference>
        </references>
      </pivotArea>
    </chartFormat>
    <chartFormat chart="5" format="12">
      <pivotArea type="data" outline="0" fieldPosition="0">
        <references count="2">
          <reference field="4294967294" count="1" selected="0">
            <x v="0"/>
          </reference>
          <reference field="18" count="1" selected="0">
            <x v="3"/>
          </reference>
        </references>
      </pivotArea>
    </chartFormat>
    <chartFormat chart="5" format="13">
      <pivotArea type="data" outline="0" fieldPosition="0">
        <references count="2">
          <reference field="4294967294" count="1" selected="0">
            <x v="0"/>
          </reference>
          <reference field="18" count="1" selected="0">
            <x v="4"/>
          </reference>
        </references>
      </pivotArea>
    </chartFormat>
    <chartFormat chart="5" format="14">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3819CA-F97A-4284-BD07-133E1593FBF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O6:Q18" firstHeaderRow="0" firstDataRow="1" firstDataCol="1"/>
  <pivotFields count="19">
    <pivotField showAll="0">
      <items count="3">
        <item x="0"/>
        <item x="1"/>
        <item t="default"/>
      </items>
    </pivotField>
    <pivotField axis="axisRow" showAll="0">
      <items count="13">
        <item x="0"/>
        <item x="11"/>
        <item x="6"/>
        <item x="1"/>
        <item x="8"/>
        <item x="2"/>
        <item x="10"/>
        <item x="7"/>
        <item x="5"/>
        <item x="3"/>
        <item x="9"/>
        <item x="4"/>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dataField="1" numFmtId="164" showAll="0"/>
    <pivotField dataField="1" numFmtId="164" showAll="0"/>
    <pivotField showAll="0">
      <items count="7">
        <item x="0"/>
        <item x="2"/>
        <item x="5"/>
        <item x="4"/>
        <item x="1"/>
        <item x="3"/>
        <item t="default"/>
      </items>
    </pivotField>
  </pivotFields>
  <rowFields count="1">
    <field x="1"/>
  </rowFields>
  <rowItems count="12">
    <i>
      <x/>
    </i>
    <i>
      <x v="1"/>
    </i>
    <i>
      <x v="2"/>
    </i>
    <i>
      <x v="3"/>
    </i>
    <i>
      <x v="4"/>
    </i>
    <i>
      <x v="5"/>
    </i>
    <i>
      <x v="6"/>
    </i>
    <i>
      <x v="7"/>
    </i>
    <i>
      <x v="8"/>
    </i>
    <i>
      <x v="9"/>
    </i>
    <i>
      <x v="10"/>
    </i>
    <i>
      <x v="11"/>
    </i>
  </rowItems>
  <colFields count="1">
    <field x="-2"/>
  </colFields>
  <colItems count="2">
    <i>
      <x/>
    </i>
    <i i="1">
      <x v="1"/>
    </i>
  </colItems>
  <dataFields count="2">
    <dataField name="Sum of Total Revenue" fld="16" baseField="0" baseItem="0"/>
    <dataField name="Sum of Profit" fld="17" baseField="0" baseItem="0" numFmtId="1"/>
  </dataFields>
  <formats count="2">
    <format dxfId="5">
      <pivotArea outline="0" collapsedLevelsAreSubtotals="1" fieldPosition="0">
        <references count="1">
          <reference field="4294967294" count="1" selected="0">
            <x v="1"/>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1A7423-598D-4C05-82EB-27FF94630BB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6:I14" firstHeaderRow="1" firstDataRow="1" firstDataCol="1"/>
  <pivotFields count="19">
    <pivotField showAll="0">
      <items count="3">
        <item x="0"/>
        <item x="1"/>
        <item t="default"/>
      </items>
    </pivotField>
    <pivotField showAll="0"/>
    <pivotField axis="axisRow"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dataField="1" showAll="0"/>
    <pivotField numFmtId="164" showAll="0"/>
    <pivotField showAll="0"/>
    <pivotField numFmtId="164" showAll="0"/>
    <pivotField numFmtId="164" showAll="0"/>
    <pivotField showAll="0">
      <items count="7">
        <item x="0"/>
        <item x="2"/>
        <item x="5"/>
        <item x="4"/>
        <item x="1"/>
        <item x="3"/>
        <item t="default"/>
      </items>
    </pivotField>
  </pivotFields>
  <rowFields count="1">
    <field x="2"/>
  </rowFields>
  <rowItems count="8">
    <i>
      <x/>
    </i>
    <i>
      <x v="1"/>
    </i>
    <i>
      <x v="2"/>
    </i>
    <i>
      <x v="3"/>
    </i>
    <i>
      <x v="4"/>
    </i>
    <i>
      <x v="5"/>
    </i>
    <i>
      <x v="6"/>
    </i>
    <i>
      <x v="7"/>
    </i>
  </rowItems>
  <colItems count="1">
    <i/>
  </colItems>
  <dataFields count="1">
    <dataField name="Sum of Room Availabl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361551-CA8D-4F5A-A1AF-11293383863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K6:AM13" firstHeaderRow="0" firstDataRow="1" firstDataCol="1"/>
  <pivotFields count="19">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axis="axisRow" showAll="0" sortType="descending">
      <items count="8">
        <item sd="0" x="0"/>
        <item x="5"/>
        <item x="6"/>
        <item x="4"/>
        <item x="3"/>
        <item x="1"/>
        <item x="2"/>
        <item t="default"/>
      </items>
      <autoSortScope>
        <pivotArea dataOnly="0" outline="0" fieldPosition="0">
          <references count="1">
            <reference field="4294967294" count="1" selected="0">
              <x v="1"/>
            </reference>
          </references>
        </pivotArea>
      </autoSortScope>
    </pivotField>
    <pivotField showAll="0"/>
    <pivotField dataField="1" showAll="0"/>
    <pivotField dataField="1" showAll="0"/>
    <pivotField numFmtId="164" showAll="0"/>
    <pivotField showAll="0"/>
    <pivotField numFmtId="164" showAll="0"/>
    <pivotField numFmtId="164" showAll="0"/>
    <pivotField showAll="0">
      <items count="7">
        <item x="0"/>
        <item x="2"/>
        <item x="5"/>
        <item x="4"/>
        <item x="1"/>
        <item x="3"/>
        <item t="default"/>
      </items>
    </pivotField>
  </pivotFields>
  <rowFields count="1">
    <field x="10"/>
  </rowFields>
  <rowItems count="7">
    <i>
      <x v="4"/>
    </i>
    <i>
      <x v="1"/>
    </i>
    <i>
      <x v="6"/>
    </i>
    <i>
      <x/>
    </i>
    <i>
      <x v="3"/>
    </i>
    <i>
      <x v="5"/>
    </i>
    <i>
      <x v="2"/>
    </i>
  </rowItems>
  <colFields count="1">
    <field x="-2"/>
  </colFields>
  <colItems count="2">
    <i>
      <x/>
    </i>
    <i i="1">
      <x v="1"/>
    </i>
  </colItems>
  <dataFields count="2">
    <dataField name="Sum of Room Booked" fld="12" baseField="0" baseItem="0"/>
    <dataField name="Sum of Room Available" fld="13" baseField="0" baseItem="0"/>
  </dataFields>
  <formats count="1">
    <format dxfId="6">
      <pivotArea outline="0" collapsedLevelsAreSubtotals="1" fieldPosition="0"/>
    </format>
  </format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C65A6B-6451-4CD1-92EF-36E3C26C2CB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6:F14" firstHeaderRow="1" firstDataRow="1" firstDataCol="1"/>
  <pivotFields count="19">
    <pivotField showAll="0">
      <items count="3">
        <item x="0"/>
        <item x="1"/>
        <item t="default"/>
      </items>
    </pivotField>
    <pivotField showAll="0"/>
    <pivotField axis="axisRow" dataField="1" showAll="0">
      <items count="9">
        <item x="3"/>
        <item x="1"/>
        <item x="7"/>
        <item x="6"/>
        <item x="2"/>
        <item x="0"/>
        <item x="4"/>
        <item x="5"/>
        <item t="default"/>
      </items>
    </pivotField>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numFmtId="164" showAll="0"/>
    <pivotField numFmtId="164" showAll="0"/>
    <pivotField showAll="0">
      <items count="7">
        <item x="0"/>
        <item x="2"/>
        <item x="5"/>
        <item x="4"/>
        <item x="1"/>
        <item x="3"/>
        <item t="default"/>
      </items>
    </pivotField>
  </pivotFields>
  <rowFields count="1">
    <field x="2"/>
  </rowFields>
  <rowItems count="8">
    <i>
      <x/>
    </i>
    <i>
      <x v="1"/>
    </i>
    <i>
      <x v="2"/>
    </i>
    <i>
      <x v="3"/>
    </i>
    <i>
      <x v="4"/>
    </i>
    <i>
      <x v="5"/>
    </i>
    <i>
      <x v="6"/>
    </i>
    <i>
      <x v="7"/>
    </i>
  </rowItems>
  <colItems count="1">
    <i/>
  </colItems>
  <dataFields count="1">
    <dataField name="Count of Hotel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DDCE4C4-72B5-444C-B020-13E2F9238FE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B6:AC34" firstHeaderRow="1" firstDataRow="1" firstDataCol="1"/>
  <pivotFields count="19">
    <pivotField showAll="0">
      <items count="3">
        <item x="0"/>
        <item x="1"/>
        <item t="default"/>
      </items>
    </pivotField>
    <pivotField showAll="0"/>
    <pivotField showAll="0"/>
    <pivotField showAll="0"/>
    <pivotField showAll="0"/>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showAll="0"/>
    <pivotField numFmtId="14" showAll="0"/>
    <pivotField showAll="0"/>
    <pivotField showAll="0"/>
    <pivotField showAll="0"/>
    <pivotField dataField="1" showAll="0"/>
    <pivotField numFmtId="164" showAll="0"/>
    <pivotField showAll="0"/>
    <pivotField numFmtId="164" showAll="0"/>
    <pivotField numFmtId="164" showAll="0"/>
    <pivotField showAll="0">
      <items count="7">
        <item x="0"/>
        <item x="2"/>
        <item x="5"/>
        <item x="4"/>
        <item x="1"/>
        <item x="3"/>
        <item t="default"/>
      </items>
    </pivotField>
  </pivotFields>
  <rowFields count="1">
    <field x="5"/>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x v="27"/>
    </i>
  </rowItems>
  <colItems count="1">
    <i/>
  </colItems>
  <dataFields count="1">
    <dataField name="Sum of Room Available" fld="13"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9B6354-FF29-41B7-88A2-9404CFA401C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F6:AH8" firstHeaderRow="0" firstDataRow="1" firstDataCol="1"/>
  <pivotFields count="19">
    <pivotField showAll="0">
      <items count="3">
        <item x="0"/>
        <item x="1"/>
        <item t="default"/>
      </items>
    </pivotField>
    <pivotField showAll="0"/>
    <pivotField showAll="0"/>
    <pivotField showAll="0"/>
    <pivotField showAll="0"/>
    <pivotField dataField="1" showAll="0"/>
    <pivotField showAll="0"/>
    <pivotField showAll="0"/>
    <pivotField axis="axisRow" showAll="0">
      <items count="3">
        <item x="0"/>
        <item x="1"/>
        <item t="default"/>
      </items>
    </pivotField>
    <pivotField numFmtId="14" showAll="0"/>
    <pivotField showAll="0"/>
    <pivotField showAll="0"/>
    <pivotField showAll="0"/>
    <pivotField showAll="0"/>
    <pivotField numFmtId="164" showAll="0"/>
    <pivotField showAll="0"/>
    <pivotField numFmtId="164" showAll="0"/>
    <pivotField numFmtId="164" showAll="0"/>
    <pivotField showAll="0">
      <items count="7">
        <item x="0"/>
        <item x="2"/>
        <item x="5"/>
        <item x="4"/>
        <item x="1"/>
        <item x="3"/>
        <item t="default"/>
      </items>
    </pivotField>
  </pivotFields>
  <rowFields count="1">
    <field x="8"/>
  </rowFields>
  <rowItems count="2">
    <i>
      <x/>
    </i>
    <i>
      <x v="1"/>
    </i>
  </rowItems>
  <colFields count="1">
    <field x="-2"/>
  </colFields>
  <colItems count="2">
    <i>
      <x/>
    </i>
    <i i="1">
      <x v="1"/>
    </i>
  </colItems>
  <dataFields count="2">
    <dataField name="Count of Customer ID" fld="5" subtotal="count" baseField="0" baseItem="0"/>
    <dataField name="Count of Customer ID2" fld="5" subtotal="count" showDataAs="percentOfTotal" baseField="0" baseItem="0" numFmtId="9"/>
  </dataFields>
  <formats count="1">
    <format dxfId="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52F9CC-16E9-43FE-8FFC-26DA0685670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A5" firstHeaderRow="1" firstDataRow="1" firstDataCol="0"/>
  <pivotFields count="19">
    <pivotField showAll="0">
      <items count="3">
        <item x="0"/>
        <item x="1"/>
        <item t="default"/>
      </items>
    </pivotField>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numFmtId="164" showAll="0"/>
    <pivotField showAll="0"/>
    <pivotField numFmtId="164" showAll="0"/>
    <pivotField numFmtId="164" showAll="0"/>
    <pivotField showAll="0">
      <items count="7">
        <item x="0"/>
        <item x="2"/>
        <item x="5"/>
        <item x="4"/>
        <item x="1"/>
        <item x="3"/>
        <item t="default"/>
      </items>
    </pivotField>
  </pivotFields>
  <rowItems count="1">
    <i/>
  </rowItems>
  <colItems count="1">
    <i/>
  </colItems>
  <dataFields count="1">
    <dataField name="Total Tranasc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EC6347-D6ED-4CBB-B2B8-640058F17C0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6:L14" firstHeaderRow="1" firstDataRow="1" firstDataCol="1"/>
  <pivotFields count="19">
    <pivotField showAll="0">
      <items count="3">
        <item x="0"/>
        <item x="1"/>
        <item t="default"/>
      </items>
    </pivotField>
    <pivotField showAll="0"/>
    <pivotField axis="axisRow" showAll="0" sortType="descending">
      <items count="9">
        <item x="3"/>
        <item x="1"/>
        <item x="7"/>
        <item x="6"/>
        <item x="2"/>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pivotField dataField="1" showAll="0"/>
    <pivotField showAll="0"/>
    <pivotField numFmtId="164" showAll="0"/>
    <pivotField showAll="0"/>
    <pivotField numFmtId="164" showAll="0"/>
    <pivotField numFmtId="164" showAll="0"/>
    <pivotField showAll="0">
      <items count="7">
        <item x="0"/>
        <item x="2"/>
        <item x="5"/>
        <item x="4"/>
        <item x="1"/>
        <item x="3"/>
        <item t="default"/>
      </items>
    </pivotField>
  </pivotFields>
  <rowFields count="1">
    <field x="2"/>
  </rowFields>
  <rowItems count="8">
    <i>
      <x v="4"/>
    </i>
    <i>
      <x v="1"/>
    </i>
    <i>
      <x v="7"/>
    </i>
    <i>
      <x v="5"/>
    </i>
    <i>
      <x v="2"/>
    </i>
    <i>
      <x v="6"/>
    </i>
    <i>
      <x/>
    </i>
    <i>
      <x v="3"/>
    </i>
  </rowItems>
  <colItems count="1">
    <i/>
  </colItems>
  <dataFields count="1">
    <dataField name="Sum of Room Book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D11ADC-895F-4468-8E57-D44055AE524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T6:U18" firstHeaderRow="1" firstDataRow="1" firstDataCol="1"/>
  <pivotFields count="19">
    <pivotField showAll="0">
      <items count="3">
        <item x="0"/>
        <item x="1"/>
        <item t="default"/>
      </items>
    </pivotField>
    <pivotField showAll="0"/>
    <pivotField showAll="0"/>
    <pivotField showAll="0"/>
    <pivotField axis="axisRow" showAll="0">
      <items count="13">
        <item x="4"/>
        <item x="6"/>
        <item x="11"/>
        <item x="10"/>
        <item x="1"/>
        <item x="9"/>
        <item x="7"/>
        <item x="8"/>
        <item x="2"/>
        <item x="3"/>
        <item x="5"/>
        <item x="0"/>
        <item t="default"/>
      </items>
    </pivotField>
    <pivotField showAll="0"/>
    <pivotField showAll="0"/>
    <pivotField showAll="0"/>
    <pivotField showAll="0"/>
    <pivotField numFmtId="14" showAll="0"/>
    <pivotField showAll="0"/>
    <pivotField showAll="0"/>
    <pivotField showAll="0"/>
    <pivotField dataField="1" showAll="0"/>
    <pivotField numFmtId="164" showAll="0"/>
    <pivotField showAll="0"/>
    <pivotField numFmtId="164" showAll="0"/>
    <pivotField numFmtId="164" showAll="0"/>
    <pivotField showAll="0">
      <items count="7">
        <item x="0"/>
        <item x="2"/>
        <item x="5"/>
        <item x="4"/>
        <item x="1"/>
        <item x="3"/>
        <item t="default"/>
      </items>
    </pivotField>
  </pivotFields>
  <rowFields count="1">
    <field x="4"/>
  </rowFields>
  <rowItems count="12">
    <i>
      <x/>
    </i>
    <i>
      <x v="1"/>
    </i>
    <i>
      <x v="2"/>
    </i>
    <i>
      <x v="3"/>
    </i>
    <i>
      <x v="4"/>
    </i>
    <i>
      <x v="5"/>
    </i>
    <i>
      <x v="6"/>
    </i>
    <i>
      <x v="7"/>
    </i>
    <i>
      <x v="8"/>
    </i>
    <i>
      <x v="9"/>
    </i>
    <i>
      <x v="10"/>
    </i>
    <i>
      <x v="11"/>
    </i>
  </rowItems>
  <colItems count="1">
    <i/>
  </colItems>
  <dataFields count="1">
    <dataField name="Sum of Room Available" fld="13"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7F0B6B-34F4-4276-A185-80EA492EF32D}" sourceName="Year">
  <pivotTables>
    <pivotTable tabId="2" name="PivotTable3"/>
    <pivotTable tabId="2" name="PivotTable1"/>
    <pivotTable tabId="2" name="PivotTable10"/>
    <pivotTable tabId="2" name="PivotTable11"/>
    <pivotTable tabId="2" name="PivotTable13"/>
    <pivotTable tabId="2" name="PivotTable2"/>
    <pivotTable tabId="2" name="PivotTable4"/>
    <pivotTable tabId="2" name="PivotTable5"/>
    <pivotTable tabId="2" name="PivotTable6"/>
    <pivotTable tabId="2" name="PivotTable7"/>
    <pivotTable tabId="2" name="PivotTable8"/>
    <pivotTable tabId="2" name="PivotTable9"/>
  </pivotTables>
  <data>
    <tabular pivotCacheId="143010446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ShortForm" xr10:uid="{F8B0A168-A8C8-4786-8844-03D7DF4A29E0}" sourceName="Country ShortForm">
  <pivotTables>
    <pivotTable tabId="2" name="PivotTable3"/>
    <pivotTable tabId="2" name="PivotTable1"/>
    <pivotTable tabId="2" name="PivotTable10"/>
    <pivotTable tabId="2" name="PivotTable11"/>
    <pivotTable tabId="2" name="PivotTable13"/>
    <pivotTable tabId="2" name="PivotTable2"/>
    <pivotTable tabId="2" name="PivotTable4"/>
    <pivotTable tabId="2" name="PivotTable5"/>
    <pivotTable tabId="2" name="PivotTable6"/>
    <pivotTable tabId="2" name="PivotTable7"/>
    <pivotTable tabId="2" name="PivotTable8"/>
    <pivotTable tabId="2" name="PivotTable9"/>
  </pivotTables>
  <data>
    <tabular pivotCacheId="1430104466">
      <items count="6">
        <i x="0" s="1"/>
        <i x="2" s="1"/>
        <i x="5"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307826F-F0F1-4616-A70E-6939F2352359}" cache="Slicer_Year" caption="Year" columnCount="2" style="Slicer Style 1" rowHeight="257175"/>
  <slicer name="Country ShortForm" xr10:uid="{D836D4E8-6140-4D7F-8D58-25D772BB8229}" cache="Slicer_Country_ShortForm" caption="Country ShortForm" columnCount="6"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A4ABDE-A8D4-4428-AAE7-9D4EC2A38F0E}" name="Table2" displayName="Table2" ref="A1:S141" totalsRowShown="0" headerRowDxfId="29">
  <autoFilter ref="A1:S141" xr:uid="{2DA4ABDE-A8D4-4428-AAE7-9D4EC2A38F0E}"/>
  <tableColumns count="19">
    <tableColumn id="19" xr3:uid="{8C07F345-94A7-41E9-820D-2AB4E646AA13}" name="Year" dataDxfId="28"/>
    <tableColumn id="20" xr3:uid="{F98B5A31-4E06-425E-977C-E40F048B6D2A}" name="Month" dataDxfId="27"/>
    <tableColumn id="1" xr3:uid="{513F621A-3446-4BB1-AC27-71F0A8030D0F}" name="Hotel Name" dataDxfId="26"/>
    <tableColumn id="15" xr3:uid="{6BD0DC92-1CC8-4C52-8A29-11FAAAF8B5E1}" name="Country" dataDxfId="25"/>
    <tableColumn id="2" xr3:uid="{45B55F4E-59E0-4E03-9D81-87C7D6F426C7}" name="City" dataDxfId="24"/>
    <tableColumn id="3" xr3:uid="{ACD96620-7C96-40BE-B0E6-80472D289EF3}" name="Customer ID" dataDxfId="23"/>
    <tableColumn id="4" xr3:uid="{E2B5331B-2E7E-4196-BBB3-2558A65E925D}" name="Customer Age" dataDxfId="22"/>
    <tableColumn id="5" xr3:uid="{CF15EAF2-343F-4CA4-B7BA-19839DECA63A}" name="Customer Gender" dataDxfId="21"/>
    <tableColumn id="6" xr3:uid="{7754A21A-17C2-4EA2-A4CB-2FA21AD1823B}" name="Customer Type" dataDxfId="20"/>
    <tableColumn id="7" xr3:uid="{263A14EE-D16E-4BCC-8236-FC24797829F1}" name="Booking Date" dataDxfId="19"/>
    <tableColumn id="14" xr3:uid="{B8C3BA65-61F6-4286-A1E0-E9CA5C63BAAE}" name="Room Type" dataDxfId="18"/>
    <tableColumn id="8" xr3:uid="{BA01AA2D-BD7B-428B-B224-696FC669C1C6}" name="Booking Status" dataDxfId="17"/>
    <tableColumn id="9" xr3:uid="{AB8C77DD-38AD-4C4E-AEB5-CD4FF2C603A8}" name="Room Booked" dataDxfId="16"/>
    <tableColumn id="10" xr3:uid="{31D54AA7-4218-4694-AEA9-5A23B28EC61A}" name="Room Available" dataDxfId="15"/>
    <tableColumn id="11" xr3:uid="{C3CC2DBF-36B0-4863-8B0E-57DC6818745D}" name="Price" dataDxfId="14"/>
    <tableColumn id="12" xr3:uid="{2CA286BB-031C-4962-9566-2EA386134E26}" name="Payment Mode" dataDxfId="13"/>
    <tableColumn id="13" xr3:uid="{707D3C22-0C7F-4CE6-8EC9-741C33F0081C}" name="Total Revenue" dataDxfId="12">
      <calculatedColumnFormula>Table2[[#This Row],[Room Booked]]*Table2[[#This Row],[Price]]</calculatedColumnFormula>
    </tableColumn>
    <tableColumn id="16" xr3:uid="{C48F897A-0BD5-45BF-ACE5-72544EE7098D}" name="Profit" dataDxfId="11"/>
    <tableColumn id="18" xr3:uid="{22FA7B45-9642-49AD-8EFA-4354C3125423}" name="Country ShortForm" dataDxfId="10">
      <calculatedColumnFormula array="1">_xlfn.XLOOKUP(Table2[[#This Row],[Country]],_xlfn.ANCHORARRAY($W$2),$X$2:$X$7)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2FFB-1035-4BD9-B9FC-F82FC1E712C8}">
  <dimension ref="A1:X141"/>
  <sheetViews>
    <sheetView topLeftCell="O1" workbookViewId="0">
      <selection activeCell="S3" sqref="S3"/>
    </sheetView>
  </sheetViews>
  <sheetFormatPr defaultRowHeight="15" x14ac:dyDescent="0.25"/>
  <cols>
    <col min="1" max="1" width="5" bestFit="1" customWidth="1"/>
    <col min="2" max="2" width="12.28515625" bestFit="1" customWidth="1"/>
    <col min="3" max="3" width="14.5703125" bestFit="1" customWidth="1"/>
    <col min="4" max="4" width="20" bestFit="1" customWidth="1"/>
    <col min="5" max="5" width="11.7109375" bestFit="1" customWidth="1"/>
    <col min="6" max="6" width="11.85546875" bestFit="1" customWidth="1"/>
    <col min="7" max="7" width="13.5703125" bestFit="1" customWidth="1"/>
    <col min="8" max="8" width="16.85546875" bestFit="1" customWidth="1"/>
    <col min="9" max="9" width="14.42578125" bestFit="1" customWidth="1"/>
    <col min="10" max="10" width="12.7109375" bestFit="1" customWidth="1"/>
    <col min="11" max="11" width="13.7109375" bestFit="1" customWidth="1"/>
    <col min="12" max="12" width="19.5703125" customWidth="1"/>
    <col min="13" max="13" width="13.42578125" bestFit="1" customWidth="1"/>
    <col min="14" max="14" width="20.7109375" customWidth="1"/>
    <col min="15" max="15" width="11.140625" style="7" bestFit="1" customWidth="1"/>
    <col min="16" max="16" width="18.5703125" customWidth="1"/>
    <col min="17" max="17" width="21.5703125" customWidth="1"/>
    <col min="18" max="18" width="9.5703125" bestFit="1" customWidth="1"/>
    <col min="19" max="19" width="26.140625" bestFit="1" customWidth="1"/>
    <col min="23" max="23" width="19.7109375" bestFit="1" customWidth="1"/>
  </cols>
  <sheetData>
    <row r="1" spans="1:24" s="4" customFormat="1" ht="16.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5" t="s">
        <v>14</v>
      </c>
      <c r="P1" s="3" t="s">
        <v>15</v>
      </c>
      <c r="Q1" s="3" t="s">
        <v>16</v>
      </c>
      <c r="R1" s="3" t="s">
        <v>17</v>
      </c>
      <c r="S1" s="3" t="s">
        <v>130</v>
      </c>
    </row>
    <row r="2" spans="1:24" x14ac:dyDescent="0.25">
      <c r="A2" s="1">
        <v>2022</v>
      </c>
      <c r="B2" s="1" t="s">
        <v>18</v>
      </c>
      <c r="C2" s="1" t="s">
        <v>19</v>
      </c>
      <c r="D2" s="1" t="s">
        <v>20</v>
      </c>
      <c r="E2" s="1" t="s">
        <v>21</v>
      </c>
      <c r="F2" s="1" t="s">
        <v>22</v>
      </c>
      <c r="G2" s="1">
        <v>37</v>
      </c>
      <c r="H2" s="1" t="s">
        <v>23</v>
      </c>
      <c r="I2" s="1" t="s">
        <v>24</v>
      </c>
      <c r="J2" s="2">
        <v>44570</v>
      </c>
      <c r="K2" s="1" t="s">
        <v>25</v>
      </c>
      <c r="L2" s="1" t="s">
        <v>26</v>
      </c>
      <c r="M2" s="1">
        <v>9</v>
      </c>
      <c r="N2" s="1">
        <v>123</v>
      </c>
      <c r="O2" s="6">
        <v>4867</v>
      </c>
      <c r="P2" s="1" t="s">
        <v>27</v>
      </c>
      <c r="Q2" s="6">
        <f>Table2[[#This Row],[Room Booked]]*Table2[[#This Row],[Price]]</f>
        <v>43803</v>
      </c>
      <c r="R2" s="6">
        <v>32122.199999999997</v>
      </c>
      <c r="S2" t="str" cm="1">
        <f t="array" ref="S2">_xlfn.XLOOKUP(Table2[[#This Row],[Country]],_xlfn.ANCHORARRAY($W$2),$X$2:$X$7)</f>
        <v>AUS</v>
      </c>
      <c r="W2" t="str" cm="1">
        <f t="array" ref="W2:W7">_xlfn.UNIQUE(Table2[Country])</f>
        <v>Australia</v>
      </c>
      <c r="X2" t="s">
        <v>124</v>
      </c>
    </row>
    <row r="3" spans="1:24" x14ac:dyDescent="0.25">
      <c r="A3" s="1">
        <v>2022</v>
      </c>
      <c r="B3" s="1" t="s">
        <v>28</v>
      </c>
      <c r="C3" s="1" t="s">
        <v>29</v>
      </c>
      <c r="D3" s="1" t="s">
        <v>30</v>
      </c>
      <c r="E3" s="1" t="s">
        <v>31</v>
      </c>
      <c r="F3" s="1" t="s">
        <v>32</v>
      </c>
      <c r="G3" s="1">
        <v>21</v>
      </c>
      <c r="H3" s="1" t="s">
        <v>33</v>
      </c>
      <c r="I3" s="1" t="s">
        <v>24</v>
      </c>
      <c r="J3" s="2">
        <v>44674</v>
      </c>
      <c r="K3" s="1" t="s">
        <v>25</v>
      </c>
      <c r="L3" s="1" t="s">
        <v>34</v>
      </c>
      <c r="M3" s="1">
        <v>26</v>
      </c>
      <c r="N3" s="1">
        <v>106</v>
      </c>
      <c r="O3" s="6">
        <v>3928</v>
      </c>
      <c r="P3" s="1" t="s">
        <v>35</v>
      </c>
      <c r="Q3" s="6">
        <f>Table2[[#This Row],[Room Booked]]*Table2[[#This Row],[Price]]</f>
        <v>102128</v>
      </c>
      <c r="R3" s="6">
        <v>44779.199999999997</v>
      </c>
      <c r="S3" t="str" cm="1">
        <f t="array" ref="S3">_xlfn.XLOOKUP(Table2[[#This Row],[Country]],_xlfn.ANCHORARRAY($W$2),$X$2:$X$7)</f>
        <v>UK</v>
      </c>
      <c r="W3" t="str">
        <v>United Kingdom</v>
      </c>
      <c r="X3" t="s">
        <v>127</v>
      </c>
    </row>
    <row r="4" spans="1:24" x14ac:dyDescent="0.25">
      <c r="A4" s="1">
        <v>2022</v>
      </c>
      <c r="B4" s="1" t="s">
        <v>36</v>
      </c>
      <c r="C4" s="1" t="s">
        <v>37</v>
      </c>
      <c r="D4" s="1" t="s">
        <v>38</v>
      </c>
      <c r="E4" s="1" t="s">
        <v>39</v>
      </c>
      <c r="F4" s="1" t="s">
        <v>40</v>
      </c>
      <c r="G4" s="1">
        <v>22</v>
      </c>
      <c r="H4" s="1" t="s">
        <v>23</v>
      </c>
      <c r="I4" s="1" t="s">
        <v>41</v>
      </c>
      <c r="J4" s="2">
        <v>44721</v>
      </c>
      <c r="K4" s="1" t="s">
        <v>42</v>
      </c>
      <c r="L4" s="1" t="s">
        <v>43</v>
      </c>
      <c r="M4" s="1">
        <v>11</v>
      </c>
      <c r="N4" s="1">
        <v>123</v>
      </c>
      <c r="O4" s="6">
        <v>26016</v>
      </c>
      <c r="P4" s="1" t="s">
        <v>27</v>
      </c>
      <c r="Q4" s="6">
        <f>Table2[[#This Row],[Room Booked]]*Table2[[#This Row],[Price]]</f>
        <v>286176</v>
      </c>
      <c r="R4" s="6">
        <v>26341.200000000001</v>
      </c>
      <c r="S4" t="str" cm="1">
        <f t="array" ref="S4">_xlfn.XLOOKUP(Table2[[#This Row],[Country]],_xlfn.ANCHORARRAY($W$2),$X$2:$X$7)</f>
        <v>IND</v>
      </c>
      <c r="W4" t="str">
        <v>India</v>
      </c>
      <c r="X4" t="s">
        <v>125</v>
      </c>
    </row>
    <row r="5" spans="1:24" x14ac:dyDescent="0.25">
      <c r="A5" s="1">
        <v>2022</v>
      </c>
      <c r="B5" s="1" t="s">
        <v>44</v>
      </c>
      <c r="C5" s="1" t="s">
        <v>19</v>
      </c>
      <c r="D5" s="1" t="s">
        <v>20</v>
      </c>
      <c r="E5" s="1" t="s">
        <v>21</v>
      </c>
      <c r="F5" s="1" t="s">
        <v>45</v>
      </c>
      <c r="G5" s="1">
        <v>56</v>
      </c>
      <c r="H5" s="1" t="s">
        <v>23</v>
      </c>
      <c r="I5" s="1" t="s">
        <v>41</v>
      </c>
      <c r="J5" s="2">
        <v>44837</v>
      </c>
      <c r="K5" s="1" t="s">
        <v>46</v>
      </c>
      <c r="L5" s="1" t="s">
        <v>34</v>
      </c>
      <c r="M5" s="1">
        <v>19</v>
      </c>
      <c r="N5" s="1">
        <v>86</v>
      </c>
      <c r="O5" s="6">
        <v>4639</v>
      </c>
      <c r="P5" s="1" t="s">
        <v>27</v>
      </c>
      <c r="Q5" s="6">
        <f>Table2[[#This Row],[Room Booked]]*Table2[[#This Row],[Price]]</f>
        <v>88141</v>
      </c>
      <c r="R5" s="6">
        <v>65409.899999999994</v>
      </c>
      <c r="S5" t="str" cm="1">
        <f t="array" ref="S5">_xlfn.XLOOKUP(Table2[[#This Row],[Country]],_xlfn.ANCHORARRAY($W$2),$X$2:$X$7)</f>
        <v>AUS</v>
      </c>
      <c r="W5" t="str">
        <v>United States</v>
      </c>
      <c r="X5" t="s">
        <v>128</v>
      </c>
    </row>
    <row r="6" spans="1:24" x14ac:dyDescent="0.25">
      <c r="A6" s="1">
        <v>2022</v>
      </c>
      <c r="B6" s="1" t="s">
        <v>47</v>
      </c>
      <c r="C6" s="1" t="s">
        <v>29</v>
      </c>
      <c r="D6" s="1" t="s">
        <v>30</v>
      </c>
      <c r="E6" s="1" t="s">
        <v>31</v>
      </c>
      <c r="F6" s="1" t="s">
        <v>48</v>
      </c>
      <c r="G6" s="1">
        <v>56</v>
      </c>
      <c r="H6" s="1" t="s">
        <v>23</v>
      </c>
      <c r="I6" s="1" t="s">
        <v>24</v>
      </c>
      <c r="J6" s="2">
        <v>44914</v>
      </c>
      <c r="K6" s="1" t="s">
        <v>49</v>
      </c>
      <c r="L6" s="1" t="s">
        <v>34</v>
      </c>
      <c r="M6" s="1">
        <v>47</v>
      </c>
      <c r="N6" s="1">
        <v>121</v>
      </c>
      <c r="O6" s="6">
        <v>73568</v>
      </c>
      <c r="P6" s="1" t="s">
        <v>50</v>
      </c>
      <c r="Q6" s="6">
        <f>Table2[[#This Row],[Room Booked]]*Table2[[#This Row],[Price]]</f>
        <v>3457696</v>
      </c>
      <c r="R6" s="6">
        <v>197433.60000000001</v>
      </c>
      <c r="S6" t="str" cm="1">
        <f t="array" ref="S6">_xlfn.XLOOKUP(Table2[[#This Row],[Country]],_xlfn.ANCHORARRAY($W$2),$X$2:$X$7)</f>
        <v>UK</v>
      </c>
      <c r="W6" t="str">
        <v>United Arab Emirates</v>
      </c>
      <c r="X6" t="s">
        <v>129</v>
      </c>
    </row>
    <row r="7" spans="1:24" x14ac:dyDescent="0.25">
      <c r="A7" s="1">
        <v>2023</v>
      </c>
      <c r="B7" s="1" t="s">
        <v>51</v>
      </c>
      <c r="C7" s="1" t="s">
        <v>37</v>
      </c>
      <c r="D7" s="1" t="s">
        <v>38</v>
      </c>
      <c r="E7" s="1" t="s">
        <v>39</v>
      </c>
      <c r="F7" s="1" t="s">
        <v>52</v>
      </c>
      <c r="G7" s="1">
        <v>52</v>
      </c>
      <c r="H7" s="1" t="s">
        <v>33</v>
      </c>
      <c r="I7" s="1" t="s">
        <v>24</v>
      </c>
      <c r="J7" s="2">
        <v>45184</v>
      </c>
      <c r="K7" s="1" t="s">
        <v>25</v>
      </c>
      <c r="L7" s="1" t="s">
        <v>26</v>
      </c>
      <c r="M7" s="1">
        <v>22</v>
      </c>
      <c r="N7" s="1">
        <v>123</v>
      </c>
      <c r="O7" s="6">
        <v>7380</v>
      </c>
      <c r="P7" s="1" t="s">
        <v>27</v>
      </c>
      <c r="Q7" s="6">
        <f>Table2[[#This Row],[Room Booked]]*Table2[[#This Row],[Price]]</f>
        <v>162360</v>
      </c>
      <c r="R7" s="6">
        <v>121770</v>
      </c>
      <c r="S7" t="str" cm="1">
        <f t="array" ref="S7">_xlfn.XLOOKUP(Table2[[#This Row],[Country]],_xlfn.ANCHORARRAY($W$2),$X$2:$X$7)</f>
        <v>IND</v>
      </c>
      <c r="W7" t="str">
        <v>Italy</v>
      </c>
      <c r="X7" t="s">
        <v>126</v>
      </c>
    </row>
    <row r="8" spans="1:24" x14ac:dyDescent="0.25">
      <c r="A8" s="1">
        <v>2022</v>
      </c>
      <c r="B8" s="1" t="s">
        <v>53</v>
      </c>
      <c r="C8" s="1" t="s">
        <v>19</v>
      </c>
      <c r="D8" s="1" t="s">
        <v>20</v>
      </c>
      <c r="E8" s="1" t="s">
        <v>21</v>
      </c>
      <c r="F8" s="1" t="s">
        <v>54</v>
      </c>
      <c r="G8" s="1">
        <v>64</v>
      </c>
      <c r="H8" s="1" t="s">
        <v>23</v>
      </c>
      <c r="I8" s="1" t="s">
        <v>24</v>
      </c>
      <c r="J8" s="2">
        <v>44646</v>
      </c>
      <c r="K8" s="1" t="s">
        <v>25</v>
      </c>
      <c r="L8" s="1" t="s">
        <v>34</v>
      </c>
      <c r="M8" s="1">
        <v>26</v>
      </c>
      <c r="N8" s="1">
        <v>114</v>
      </c>
      <c r="O8" s="6">
        <v>3976</v>
      </c>
      <c r="P8" s="1" t="s">
        <v>50</v>
      </c>
      <c r="Q8" s="6">
        <f>Table2[[#This Row],[Room Booked]]*Table2[[#This Row],[Price]]</f>
        <v>103376</v>
      </c>
      <c r="R8" s="6">
        <v>75146.399999999994</v>
      </c>
      <c r="S8" t="str" cm="1">
        <f t="array" ref="S8">_xlfn.XLOOKUP(Table2[[#This Row],[Country]],_xlfn.ANCHORARRAY($W$2),$X$2:$X$7)</f>
        <v>AUS</v>
      </c>
    </row>
    <row r="9" spans="1:24" x14ac:dyDescent="0.25">
      <c r="A9" s="1">
        <v>2022</v>
      </c>
      <c r="B9" s="1" t="s">
        <v>55</v>
      </c>
      <c r="C9" s="1" t="s">
        <v>29</v>
      </c>
      <c r="D9" s="1" t="s">
        <v>30</v>
      </c>
      <c r="E9" s="1" t="s">
        <v>31</v>
      </c>
      <c r="F9" s="1" t="s">
        <v>56</v>
      </c>
      <c r="G9" s="1">
        <v>22</v>
      </c>
      <c r="H9" s="1" t="s">
        <v>33</v>
      </c>
      <c r="I9" s="1" t="s">
        <v>24</v>
      </c>
      <c r="J9" s="2">
        <v>44782</v>
      </c>
      <c r="K9" s="1" t="s">
        <v>42</v>
      </c>
      <c r="L9" s="1" t="s">
        <v>26</v>
      </c>
      <c r="M9" s="1">
        <v>38</v>
      </c>
      <c r="N9" s="1">
        <v>105</v>
      </c>
      <c r="O9" s="6">
        <v>35248</v>
      </c>
      <c r="P9" s="1" t="s">
        <v>35</v>
      </c>
      <c r="Q9" s="6">
        <f>Table2[[#This Row],[Room Booked]]*Table2[[#This Row],[Price]]</f>
        <v>1339424</v>
      </c>
      <c r="R9" s="6">
        <v>91204.2</v>
      </c>
      <c r="S9" t="str" cm="1">
        <f t="array" ref="S9">_xlfn.XLOOKUP(Table2[[#This Row],[Country]],_xlfn.ANCHORARRAY($W$2),$X$2:$X$7)</f>
        <v>UK</v>
      </c>
    </row>
    <row r="10" spans="1:24" x14ac:dyDescent="0.25">
      <c r="A10" s="1">
        <v>2023</v>
      </c>
      <c r="B10" s="1" t="s">
        <v>57</v>
      </c>
      <c r="C10" s="1" t="s">
        <v>37</v>
      </c>
      <c r="D10" s="1" t="s">
        <v>38</v>
      </c>
      <c r="E10" s="1" t="s">
        <v>39</v>
      </c>
      <c r="F10" s="1" t="s">
        <v>58</v>
      </c>
      <c r="G10" s="1">
        <v>49</v>
      </c>
      <c r="H10" s="1" t="s">
        <v>23</v>
      </c>
      <c r="I10" s="1" t="s">
        <v>24</v>
      </c>
      <c r="J10" s="2">
        <v>45062</v>
      </c>
      <c r="K10" s="1" t="s">
        <v>42</v>
      </c>
      <c r="L10" s="1" t="s">
        <v>26</v>
      </c>
      <c r="M10" s="1">
        <v>62</v>
      </c>
      <c r="N10" s="1">
        <v>109</v>
      </c>
      <c r="O10" s="6">
        <v>42008</v>
      </c>
      <c r="P10" s="1" t="s">
        <v>35</v>
      </c>
      <c r="Q10" s="6">
        <f>Table2[[#This Row],[Room Booked]]*Table2[[#This Row],[Price]]</f>
        <v>2604496</v>
      </c>
      <c r="R10" s="6">
        <v>97668.599999999991</v>
      </c>
      <c r="S10" t="str" cm="1">
        <f t="array" ref="S10">_xlfn.XLOOKUP(Table2[[#This Row],[Country]],_xlfn.ANCHORARRAY($W$2),$X$2:$X$7)</f>
        <v>IND</v>
      </c>
    </row>
    <row r="11" spans="1:24" x14ac:dyDescent="0.25">
      <c r="A11" s="1">
        <v>2022</v>
      </c>
      <c r="B11" s="1" t="s">
        <v>18</v>
      </c>
      <c r="C11" s="1" t="s">
        <v>59</v>
      </c>
      <c r="D11" s="1" t="s">
        <v>60</v>
      </c>
      <c r="E11" s="1" t="s">
        <v>61</v>
      </c>
      <c r="F11" s="1" t="s">
        <v>62</v>
      </c>
      <c r="G11" s="1">
        <v>46</v>
      </c>
      <c r="H11" s="1" t="s">
        <v>23</v>
      </c>
      <c r="I11" s="1" t="s">
        <v>41</v>
      </c>
      <c r="J11" s="2">
        <v>44576</v>
      </c>
      <c r="K11" s="1" t="s">
        <v>49</v>
      </c>
      <c r="L11" s="1" t="s">
        <v>34</v>
      </c>
      <c r="M11" s="1">
        <v>16</v>
      </c>
      <c r="N11" s="1">
        <v>99</v>
      </c>
      <c r="O11" s="6">
        <v>20104</v>
      </c>
      <c r="P11" s="1" t="s">
        <v>63</v>
      </c>
      <c r="Q11" s="6">
        <f>Table2[[#This Row],[Room Booked]]*Table2[[#This Row],[Price]]</f>
        <v>321664</v>
      </c>
      <c r="R11" s="6">
        <v>104549.4</v>
      </c>
      <c r="S11" t="str" cm="1">
        <f t="array" ref="S11">_xlfn.XLOOKUP(Table2[[#This Row],[Country]],_xlfn.ANCHORARRAY($W$2),$X$2:$X$7)</f>
        <v>USA</v>
      </c>
    </row>
    <row r="12" spans="1:24" x14ac:dyDescent="0.25">
      <c r="A12" s="1">
        <v>2022</v>
      </c>
      <c r="B12" s="1" t="s">
        <v>44</v>
      </c>
      <c r="C12" s="1" t="s">
        <v>19</v>
      </c>
      <c r="D12" s="1" t="s">
        <v>20</v>
      </c>
      <c r="E12" s="1" t="s">
        <v>21</v>
      </c>
      <c r="F12" s="1" t="s">
        <v>64</v>
      </c>
      <c r="G12" s="1">
        <v>38</v>
      </c>
      <c r="H12" s="1" t="s">
        <v>23</v>
      </c>
      <c r="I12" s="1" t="s">
        <v>24</v>
      </c>
      <c r="J12" s="2">
        <v>44850</v>
      </c>
      <c r="K12" s="1" t="s">
        <v>65</v>
      </c>
      <c r="L12" s="1" t="s">
        <v>34</v>
      </c>
      <c r="M12" s="1">
        <v>16</v>
      </c>
      <c r="N12" s="1">
        <v>115</v>
      </c>
      <c r="O12" s="6">
        <v>9707</v>
      </c>
      <c r="P12" s="1" t="s">
        <v>63</v>
      </c>
      <c r="Q12" s="6">
        <f>Table2[[#This Row],[Room Booked]]*Table2[[#This Row],[Price]]</f>
        <v>155312</v>
      </c>
      <c r="R12" s="6">
        <v>270825.3</v>
      </c>
      <c r="S12" t="str" cm="1">
        <f t="array" ref="S12">_xlfn.XLOOKUP(Table2[[#This Row],[Country]],_xlfn.ANCHORARRAY($W$2),$X$2:$X$7)</f>
        <v>AUS</v>
      </c>
    </row>
    <row r="13" spans="1:24" x14ac:dyDescent="0.25">
      <c r="A13" s="1">
        <v>2023</v>
      </c>
      <c r="B13" s="1" t="s">
        <v>51</v>
      </c>
      <c r="C13" s="1" t="s">
        <v>19</v>
      </c>
      <c r="D13" s="1" t="s">
        <v>20</v>
      </c>
      <c r="E13" s="1" t="s">
        <v>21</v>
      </c>
      <c r="F13" s="1" t="s">
        <v>66</v>
      </c>
      <c r="G13" s="1">
        <v>56</v>
      </c>
      <c r="H13" s="1" t="s">
        <v>23</v>
      </c>
      <c r="I13" s="1" t="s">
        <v>24</v>
      </c>
      <c r="J13" s="2">
        <v>45182</v>
      </c>
      <c r="K13" s="1" t="s">
        <v>25</v>
      </c>
      <c r="L13" s="1" t="s">
        <v>34</v>
      </c>
      <c r="M13" s="1">
        <v>24</v>
      </c>
      <c r="N13" s="1">
        <v>80</v>
      </c>
      <c r="O13" s="6">
        <v>340</v>
      </c>
      <c r="P13" s="1" t="s">
        <v>27</v>
      </c>
      <c r="Q13" s="6">
        <f>Table2[[#This Row],[Room Booked]]*Table2[[#This Row],[Price]]</f>
        <v>8160</v>
      </c>
      <c r="R13" s="6">
        <v>6018</v>
      </c>
      <c r="S13" t="str" cm="1">
        <f t="array" ref="S13">_xlfn.XLOOKUP(Table2[[#This Row],[Country]],_xlfn.ANCHORARRAY($W$2),$X$2:$X$7)</f>
        <v>AUS</v>
      </c>
    </row>
    <row r="14" spans="1:24" x14ac:dyDescent="0.25">
      <c r="A14" s="1">
        <v>2023</v>
      </c>
      <c r="B14" s="1" t="s">
        <v>36</v>
      </c>
      <c r="C14" s="1" t="s">
        <v>29</v>
      </c>
      <c r="D14" s="1" t="s">
        <v>30</v>
      </c>
      <c r="E14" s="1" t="s">
        <v>31</v>
      </c>
      <c r="F14" s="1" t="s">
        <v>67</v>
      </c>
      <c r="G14" s="1">
        <v>35</v>
      </c>
      <c r="H14" s="1" t="s">
        <v>33</v>
      </c>
      <c r="I14" s="1" t="s">
        <v>41</v>
      </c>
      <c r="J14" s="2">
        <v>45095</v>
      </c>
      <c r="K14" s="1" t="s">
        <v>68</v>
      </c>
      <c r="L14" s="1" t="s">
        <v>26</v>
      </c>
      <c r="M14" s="1">
        <v>27</v>
      </c>
      <c r="N14" s="1">
        <v>109</v>
      </c>
      <c r="O14" s="6">
        <v>76704</v>
      </c>
      <c r="P14" s="1" t="s">
        <v>50</v>
      </c>
      <c r="Q14" s="6">
        <f>Table2[[#This Row],[Room Booked]]*Table2[[#This Row],[Price]]</f>
        <v>2071008</v>
      </c>
      <c r="R14" s="6">
        <v>86702.7</v>
      </c>
      <c r="S14" t="str" cm="1">
        <f t="array" ref="S14">_xlfn.XLOOKUP(Table2[[#This Row],[Country]],_xlfn.ANCHORARRAY($W$2),$X$2:$X$7)</f>
        <v>UK</v>
      </c>
    </row>
    <row r="15" spans="1:24" x14ac:dyDescent="0.25">
      <c r="A15" s="1">
        <v>2022</v>
      </c>
      <c r="B15" s="1" t="s">
        <v>69</v>
      </c>
      <c r="C15" s="1" t="s">
        <v>70</v>
      </c>
      <c r="D15" s="1" t="s">
        <v>71</v>
      </c>
      <c r="E15" s="1" t="s">
        <v>72</v>
      </c>
      <c r="F15" s="1" t="s">
        <v>73</v>
      </c>
      <c r="G15" s="1">
        <v>56</v>
      </c>
      <c r="H15" s="1" t="s">
        <v>23</v>
      </c>
      <c r="I15" s="1" t="s">
        <v>41</v>
      </c>
      <c r="J15" s="2">
        <v>44892</v>
      </c>
      <c r="K15" s="1" t="s">
        <v>49</v>
      </c>
      <c r="L15" s="1" t="s">
        <v>43</v>
      </c>
      <c r="M15" s="1">
        <v>34</v>
      </c>
      <c r="N15" s="1">
        <v>96</v>
      </c>
      <c r="O15" s="6">
        <v>17304</v>
      </c>
      <c r="P15" s="1" t="s">
        <v>27</v>
      </c>
      <c r="Q15" s="6">
        <f>Table2[[#This Row],[Room Booked]]*Table2[[#This Row],[Price]]</f>
        <v>588336</v>
      </c>
      <c r="R15" s="6">
        <v>17952.899999999998</v>
      </c>
      <c r="S15" t="str" cm="1">
        <f t="array" ref="S15">_xlfn.XLOOKUP(Table2[[#This Row],[Country]],_xlfn.ANCHORARRAY($W$2),$X$2:$X$7)</f>
        <v>UAE</v>
      </c>
    </row>
    <row r="16" spans="1:24" x14ac:dyDescent="0.25">
      <c r="A16" s="1">
        <v>2023</v>
      </c>
      <c r="B16" s="1" t="s">
        <v>44</v>
      </c>
      <c r="C16" s="1" t="s">
        <v>19</v>
      </c>
      <c r="D16" s="1" t="s">
        <v>20</v>
      </c>
      <c r="E16" s="1" t="s">
        <v>21</v>
      </c>
      <c r="F16" s="1" t="s">
        <v>74</v>
      </c>
      <c r="G16" s="1">
        <v>56</v>
      </c>
      <c r="H16" s="1" t="s">
        <v>23</v>
      </c>
      <c r="I16" s="1" t="s">
        <v>24</v>
      </c>
      <c r="J16" s="2">
        <v>45202</v>
      </c>
      <c r="K16" s="1" t="s">
        <v>49</v>
      </c>
      <c r="L16" s="1" t="s">
        <v>26</v>
      </c>
      <c r="M16" s="1">
        <v>14</v>
      </c>
      <c r="N16" s="1">
        <v>105</v>
      </c>
      <c r="O16" s="6">
        <v>155856</v>
      </c>
      <c r="P16" s="1" t="s">
        <v>27</v>
      </c>
      <c r="Q16" s="6">
        <f>Table2[[#This Row],[Room Booked]]*Table2[[#This Row],[Price]]</f>
        <v>2181984</v>
      </c>
      <c r="R16" s="6">
        <v>64290.6</v>
      </c>
      <c r="S16" t="str" cm="1">
        <f t="array" ref="S16">_xlfn.XLOOKUP(Table2[[#This Row],[Country]],_xlfn.ANCHORARRAY($W$2),$X$2:$X$7)</f>
        <v>AUS</v>
      </c>
    </row>
    <row r="17" spans="1:19" x14ac:dyDescent="0.25">
      <c r="A17" s="1">
        <v>2022</v>
      </c>
      <c r="B17" s="1" t="s">
        <v>44</v>
      </c>
      <c r="C17" s="1" t="s">
        <v>19</v>
      </c>
      <c r="D17" s="1" t="s">
        <v>20</v>
      </c>
      <c r="E17" s="1" t="s">
        <v>21</v>
      </c>
      <c r="F17" s="1" t="s">
        <v>75</v>
      </c>
      <c r="G17" s="1">
        <v>55</v>
      </c>
      <c r="H17" s="1" t="s">
        <v>23</v>
      </c>
      <c r="I17" s="1" t="s">
        <v>24</v>
      </c>
      <c r="J17" s="2">
        <v>44860</v>
      </c>
      <c r="K17" s="1" t="s">
        <v>65</v>
      </c>
      <c r="L17" s="1" t="s">
        <v>34</v>
      </c>
      <c r="M17" s="1">
        <v>21</v>
      </c>
      <c r="N17" s="1">
        <v>92</v>
      </c>
      <c r="O17" s="6">
        <v>1945</v>
      </c>
      <c r="P17" s="1" t="s">
        <v>50</v>
      </c>
      <c r="Q17" s="6">
        <f>Table2[[#This Row],[Room Booked]]*Table2[[#This Row],[Price]]</f>
        <v>40845</v>
      </c>
      <c r="R17" s="6">
        <v>19255.5</v>
      </c>
      <c r="S17" t="str" cm="1">
        <f t="array" ref="S17">_xlfn.XLOOKUP(Table2[[#This Row],[Country]],_xlfn.ANCHORARRAY($W$2),$X$2:$X$7)</f>
        <v>AUS</v>
      </c>
    </row>
    <row r="18" spans="1:19" x14ac:dyDescent="0.25">
      <c r="A18" s="1">
        <v>2023</v>
      </c>
      <c r="B18" s="1" t="s">
        <v>76</v>
      </c>
      <c r="C18" s="1" t="s">
        <v>70</v>
      </c>
      <c r="D18" s="1" t="s">
        <v>71</v>
      </c>
      <c r="E18" s="1" t="s">
        <v>72</v>
      </c>
      <c r="F18" s="1" t="s">
        <v>77</v>
      </c>
      <c r="G18" s="1">
        <v>19</v>
      </c>
      <c r="H18" s="1" t="s">
        <v>23</v>
      </c>
      <c r="I18" s="1" t="s">
        <v>24</v>
      </c>
      <c r="J18" s="2">
        <v>45138</v>
      </c>
      <c r="K18" s="1" t="s">
        <v>42</v>
      </c>
      <c r="L18" s="1" t="s">
        <v>43</v>
      </c>
      <c r="M18" s="1">
        <v>16</v>
      </c>
      <c r="N18" s="1">
        <v>110</v>
      </c>
      <c r="O18" s="6">
        <v>75528</v>
      </c>
      <c r="P18" s="1" t="s">
        <v>63</v>
      </c>
      <c r="Q18" s="6">
        <f>Table2[[#This Row],[Room Booked]]*Table2[[#This Row],[Price]]</f>
        <v>1208448</v>
      </c>
      <c r="R18" s="6">
        <v>107627.4</v>
      </c>
      <c r="S18" t="str" cm="1">
        <f t="array" ref="S18">_xlfn.XLOOKUP(Table2[[#This Row],[Country]],_xlfn.ANCHORARRAY($W$2),$X$2:$X$7)</f>
        <v>UAE</v>
      </c>
    </row>
    <row r="19" spans="1:19" x14ac:dyDescent="0.25">
      <c r="A19" s="1">
        <v>2022</v>
      </c>
      <c r="B19" s="1" t="s">
        <v>51</v>
      </c>
      <c r="C19" s="1" t="s">
        <v>59</v>
      </c>
      <c r="D19" s="1" t="s">
        <v>60</v>
      </c>
      <c r="E19" s="1" t="s">
        <v>61</v>
      </c>
      <c r="F19" s="1" t="s">
        <v>78</v>
      </c>
      <c r="G19" s="1">
        <v>58</v>
      </c>
      <c r="H19" s="1" t="s">
        <v>23</v>
      </c>
      <c r="I19" s="1" t="s">
        <v>24</v>
      </c>
      <c r="J19" s="2">
        <v>44811</v>
      </c>
      <c r="K19" s="1" t="s">
        <v>65</v>
      </c>
      <c r="L19" s="1" t="s">
        <v>34</v>
      </c>
      <c r="M19" s="1">
        <v>16</v>
      </c>
      <c r="N19" s="1">
        <v>119</v>
      </c>
      <c r="O19" s="6">
        <v>1683</v>
      </c>
      <c r="P19" s="1" t="s">
        <v>63</v>
      </c>
      <c r="Q19" s="6">
        <f>Table2[[#This Row],[Room Booked]]*Table2[[#This Row],[Price]]</f>
        <v>26928</v>
      </c>
      <c r="R19" s="6">
        <v>19691.099999999999</v>
      </c>
      <c r="S19" t="str" cm="1">
        <f t="array" ref="S19">_xlfn.XLOOKUP(Table2[[#This Row],[Country]],_xlfn.ANCHORARRAY($W$2),$X$2:$X$7)</f>
        <v>USA</v>
      </c>
    </row>
    <row r="20" spans="1:19" x14ac:dyDescent="0.25">
      <c r="A20" s="1">
        <v>2022</v>
      </c>
      <c r="B20" s="1" t="s">
        <v>28</v>
      </c>
      <c r="C20" s="1" t="s">
        <v>70</v>
      </c>
      <c r="D20" s="1" t="s">
        <v>71</v>
      </c>
      <c r="E20" s="1" t="s">
        <v>72</v>
      </c>
      <c r="F20" s="1" t="s">
        <v>79</v>
      </c>
      <c r="G20" s="1">
        <v>42</v>
      </c>
      <c r="H20" s="1" t="s">
        <v>33</v>
      </c>
      <c r="I20" s="1" t="s">
        <v>24</v>
      </c>
      <c r="J20" s="2">
        <v>44665</v>
      </c>
      <c r="K20" s="1" t="s">
        <v>80</v>
      </c>
      <c r="L20" s="1" t="s">
        <v>26</v>
      </c>
      <c r="M20" s="1">
        <v>1</v>
      </c>
      <c r="N20" s="1">
        <v>83</v>
      </c>
      <c r="O20" s="6">
        <v>59136</v>
      </c>
      <c r="P20" s="1" t="s">
        <v>50</v>
      </c>
      <c r="Q20" s="6">
        <f>Table2[[#This Row],[Room Booked]]*Table2[[#This Row],[Price]]</f>
        <v>59136</v>
      </c>
      <c r="R20" s="6">
        <v>1108.8</v>
      </c>
      <c r="S20" t="str" cm="1">
        <f t="array" ref="S20">_xlfn.XLOOKUP(Table2[[#This Row],[Country]],_xlfn.ANCHORARRAY($W$2),$X$2:$X$7)</f>
        <v>UAE</v>
      </c>
    </row>
    <row r="21" spans="1:19" x14ac:dyDescent="0.25">
      <c r="A21" s="1">
        <v>2023</v>
      </c>
      <c r="B21" s="1" t="s">
        <v>47</v>
      </c>
      <c r="C21" s="1" t="s">
        <v>37</v>
      </c>
      <c r="D21" s="1" t="s">
        <v>38</v>
      </c>
      <c r="E21" s="1" t="s">
        <v>39</v>
      </c>
      <c r="F21" s="1" t="s">
        <v>81</v>
      </c>
      <c r="G21" s="1">
        <v>56</v>
      </c>
      <c r="H21" s="1" t="s">
        <v>23</v>
      </c>
      <c r="I21" s="1" t="s">
        <v>24</v>
      </c>
      <c r="J21" s="2">
        <v>45262</v>
      </c>
      <c r="K21" s="1" t="s">
        <v>46</v>
      </c>
      <c r="L21" s="1" t="s">
        <v>43</v>
      </c>
      <c r="M21" s="1">
        <v>38</v>
      </c>
      <c r="N21" s="1">
        <v>113</v>
      </c>
      <c r="O21" s="6">
        <v>5517</v>
      </c>
      <c r="P21" s="1" t="s">
        <v>63</v>
      </c>
      <c r="Q21" s="6">
        <f>Table2[[#This Row],[Room Booked]]*Table2[[#This Row],[Price]]</f>
        <v>209646</v>
      </c>
      <c r="R21" s="6">
        <v>122477.4</v>
      </c>
      <c r="S21" t="str" cm="1">
        <f t="array" ref="S21">_xlfn.XLOOKUP(Table2[[#This Row],[Country]],_xlfn.ANCHORARRAY($W$2),$X$2:$X$7)</f>
        <v>IND</v>
      </c>
    </row>
    <row r="22" spans="1:19" x14ac:dyDescent="0.25">
      <c r="A22" s="1">
        <v>2023</v>
      </c>
      <c r="B22" s="1" t="s">
        <v>18</v>
      </c>
      <c r="C22" s="1" t="s">
        <v>19</v>
      </c>
      <c r="D22" s="1" t="s">
        <v>20</v>
      </c>
      <c r="E22" s="1" t="s">
        <v>21</v>
      </c>
      <c r="F22" s="1" t="s">
        <v>82</v>
      </c>
      <c r="G22" s="1">
        <v>56</v>
      </c>
      <c r="H22" s="1" t="s">
        <v>33</v>
      </c>
      <c r="I22" s="1" t="s">
        <v>24</v>
      </c>
      <c r="J22" s="2">
        <v>44951</v>
      </c>
      <c r="K22" s="1" t="s">
        <v>25</v>
      </c>
      <c r="L22" s="1" t="s">
        <v>43</v>
      </c>
      <c r="M22" s="1">
        <v>8</v>
      </c>
      <c r="N22" s="1">
        <v>98</v>
      </c>
      <c r="O22" s="6">
        <v>3137</v>
      </c>
      <c r="P22" s="1" t="s">
        <v>27</v>
      </c>
      <c r="Q22" s="6">
        <f>Table2[[#This Row],[Room Booked]]*Table2[[#This Row],[Price]]</f>
        <v>25096</v>
      </c>
      <c r="R22" s="6">
        <v>82816.800000000003</v>
      </c>
      <c r="S22" t="str" cm="1">
        <f t="array" ref="S22">_xlfn.XLOOKUP(Table2[[#This Row],[Country]],_xlfn.ANCHORARRAY($W$2),$X$2:$X$7)</f>
        <v>AUS</v>
      </c>
    </row>
    <row r="23" spans="1:19" x14ac:dyDescent="0.25">
      <c r="A23" s="1">
        <v>2023</v>
      </c>
      <c r="B23" s="1" t="s">
        <v>76</v>
      </c>
      <c r="C23" s="1" t="s">
        <v>70</v>
      </c>
      <c r="D23" s="1" t="s">
        <v>71</v>
      </c>
      <c r="E23" s="1" t="s">
        <v>72</v>
      </c>
      <c r="F23" s="1" t="s">
        <v>83</v>
      </c>
      <c r="G23" s="1">
        <v>71</v>
      </c>
      <c r="H23" s="1" t="s">
        <v>33</v>
      </c>
      <c r="I23" s="1" t="s">
        <v>24</v>
      </c>
      <c r="J23" s="2">
        <v>45114</v>
      </c>
      <c r="K23" s="1" t="s">
        <v>49</v>
      </c>
      <c r="L23" s="1" t="s">
        <v>43</v>
      </c>
      <c r="M23" s="1">
        <v>3</v>
      </c>
      <c r="N23" s="1">
        <v>89</v>
      </c>
      <c r="O23" s="6">
        <v>93488</v>
      </c>
      <c r="P23" s="1" t="s">
        <v>27</v>
      </c>
      <c r="Q23" s="6">
        <f>Table2[[#This Row],[Room Booked]]*Table2[[#This Row],[Price]]</f>
        <v>280464</v>
      </c>
      <c r="R23" s="6">
        <v>16930.2</v>
      </c>
      <c r="S23" t="str" cm="1">
        <f t="array" ref="S23">_xlfn.XLOOKUP(Table2[[#This Row],[Country]],_xlfn.ANCHORARRAY($W$2),$X$2:$X$7)</f>
        <v>UAE</v>
      </c>
    </row>
    <row r="24" spans="1:19" x14ac:dyDescent="0.25">
      <c r="A24" s="1">
        <v>2022</v>
      </c>
      <c r="B24" s="1" t="s">
        <v>18</v>
      </c>
      <c r="C24" s="1" t="s">
        <v>70</v>
      </c>
      <c r="D24" s="1" t="s">
        <v>71</v>
      </c>
      <c r="E24" s="1" t="s">
        <v>72</v>
      </c>
      <c r="F24" s="1" t="s">
        <v>84</v>
      </c>
      <c r="G24" s="1">
        <v>21</v>
      </c>
      <c r="H24" s="1" t="s">
        <v>23</v>
      </c>
      <c r="I24" s="1" t="s">
        <v>24</v>
      </c>
      <c r="J24" s="2">
        <v>44586</v>
      </c>
      <c r="K24" s="1" t="s">
        <v>49</v>
      </c>
      <c r="L24" s="1" t="s">
        <v>26</v>
      </c>
      <c r="M24" s="1">
        <v>38</v>
      </c>
      <c r="N24" s="1">
        <v>92</v>
      </c>
      <c r="O24" s="6">
        <v>6456</v>
      </c>
      <c r="P24" s="1" t="s">
        <v>50</v>
      </c>
      <c r="Q24" s="6">
        <f>Table2[[#This Row],[Room Booked]]*Table2[[#This Row],[Price]]</f>
        <v>245328</v>
      </c>
      <c r="R24" s="6">
        <v>216755.1</v>
      </c>
      <c r="S24" t="str" cm="1">
        <f t="array" ref="S24">_xlfn.XLOOKUP(Table2[[#This Row],[Country]],_xlfn.ANCHORARRAY($W$2),$X$2:$X$7)</f>
        <v>UAE</v>
      </c>
    </row>
    <row r="25" spans="1:19" x14ac:dyDescent="0.25">
      <c r="A25" s="1">
        <v>2023</v>
      </c>
      <c r="B25" s="1" t="s">
        <v>69</v>
      </c>
      <c r="C25" s="1" t="s">
        <v>37</v>
      </c>
      <c r="D25" s="1" t="s">
        <v>38</v>
      </c>
      <c r="E25" s="1" t="s">
        <v>39</v>
      </c>
      <c r="F25" s="1" t="s">
        <v>85</v>
      </c>
      <c r="G25" s="1">
        <v>31</v>
      </c>
      <c r="H25" s="1" t="s">
        <v>33</v>
      </c>
      <c r="I25" s="1" t="s">
        <v>24</v>
      </c>
      <c r="J25" s="2">
        <v>45249</v>
      </c>
      <c r="K25" s="1" t="s">
        <v>46</v>
      </c>
      <c r="L25" s="1" t="s">
        <v>26</v>
      </c>
      <c r="M25" s="1">
        <v>44</v>
      </c>
      <c r="N25" s="1">
        <v>121</v>
      </c>
      <c r="O25" s="6">
        <v>8790</v>
      </c>
      <c r="P25" s="1" t="s">
        <v>35</v>
      </c>
      <c r="Q25" s="6">
        <f>Table2[[#This Row],[Room Booked]]*Table2[[#This Row],[Price]]</f>
        <v>386760</v>
      </c>
      <c r="R25" s="6">
        <v>152946</v>
      </c>
      <c r="S25" t="str" cm="1">
        <f t="array" ref="S25">_xlfn.XLOOKUP(Table2[[#This Row],[Country]],_xlfn.ANCHORARRAY($W$2),$X$2:$X$7)</f>
        <v>IND</v>
      </c>
    </row>
    <row r="26" spans="1:19" x14ac:dyDescent="0.25">
      <c r="A26" s="1">
        <v>2022</v>
      </c>
      <c r="B26" s="1" t="s">
        <v>69</v>
      </c>
      <c r="C26" s="1" t="s">
        <v>19</v>
      </c>
      <c r="D26" s="1" t="s">
        <v>20</v>
      </c>
      <c r="E26" s="1" t="s">
        <v>21</v>
      </c>
      <c r="F26" s="1" t="s">
        <v>86</v>
      </c>
      <c r="G26" s="1">
        <v>29</v>
      </c>
      <c r="H26" s="1" t="s">
        <v>23</v>
      </c>
      <c r="I26" s="1" t="s">
        <v>24</v>
      </c>
      <c r="J26" s="2">
        <v>44885</v>
      </c>
      <c r="K26" s="1" t="s">
        <v>46</v>
      </c>
      <c r="L26" s="1" t="s">
        <v>43</v>
      </c>
      <c r="M26" s="1">
        <v>7</v>
      </c>
      <c r="N26" s="1">
        <v>111</v>
      </c>
      <c r="O26" s="6">
        <v>9488</v>
      </c>
      <c r="P26" s="1" t="s">
        <v>27</v>
      </c>
      <c r="Q26" s="6">
        <f>Table2[[#This Row],[Room Booked]]*Table2[[#This Row],[Price]]</f>
        <v>66416</v>
      </c>
      <c r="R26" s="6">
        <v>19924.8</v>
      </c>
      <c r="S26" t="str" cm="1">
        <f t="array" ref="S26">_xlfn.XLOOKUP(Table2[[#This Row],[Country]],_xlfn.ANCHORARRAY($W$2),$X$2:$X$7)</f>
        <v>AUS</v>
      </c>
    </row>
    <row r="27" spans="1:19" x14ac:dyDescent="0.25">
      <c r="A27" s="1">
        <v>2023</v>
      </c>
      <c r="B27" s="1" t="s">
        <v>57</v>
      </c>
      <c r="C27" s="1" t="s">
        <v>87</v>
      </c>
      <c r="D27" s="1" t="s">
        <v>71</v>
      </c>
      <c r="E27" s="1" t="s">
        <v>72</v>
      </c>
      <c r="F27" s="1" t="s">
        <v>88</v>
      </c>
      <c r="G27" s="1">
        <v>69</v>
      </c>
      <c r="H27" s="1" t="s">
        <v>23</v>
      </c>
      <c r="I27" s="1" t="s">
        <v>24</v>
      </c>
      <c r="J27" s="2">
        <v>45068</v>
      </c>
      <c r="K27" s="1" t="s">
        <v>65</v>
      </c>
      <c r="L27" s="1" t="s">
        <v>26</v>
      </c>
      <c r="M27" s="1">
        <v>21</v>
      </c>
      <c r="N27" s="1">
        <v>108</v>
      </c>
      <c r="O27" s="6">
        <v>5691</v>
      </c>
      <c r="P27" s="1" t="s">
        <v>27</v>
      </c>
      <c r="Q27" s="6">
        <f>Table2[[#This Row],[Room Booked]]*Table2[[#This Row],[Price]]</f>
        <v>119511</v>
      </c>
      <c r="R27" s="6">
        <v>88779.599999999991</v>
      </c>
      <c r="S27" t="str" cm="1">
        <f t="array" ref="S27">_xlfn.XLOOKUP(Table2[[#This Row],[Country]],_xlfn.ANCHORARRAY($W$2),$X$2:$X$7)</f>
        <v>UAE</v>
      </c>
    </row>
    <row r="28" spans="1:19" x14ac:dyDescent="0.25">
      <c r="A28" s="1">
        <v>2023</v>
      </c>
      <c r="B28" s="1" t="s">
        <v>51</v>
      </c>
      <c r="C28" s="1" t="s">
        <v>19</v>
      </c>
      <c r="D28" s="1" t="s">
        <v>20</v>
      </c>
      <c r="E28" s="1" t="s">
        <v>21</v>
      </c>
      <c r="F28" s="1" t="s">
        <v>89</v>
      </c>
      <c r="G28" s="1">
        <v>58</v>
      </c>
      <c r="H28" s="1" t="s">
        <v>23</v>
      </c>
      <c r="I28" s="1" t="s">
        <v>24</v>
      </c>
      <c r="J28" s="2">
        <v>45190</v>
      </c>
      <c r="K28" s="1" t="s">
        <v>25</v>
      </c>
      <c r="L28" s="1" t="s">
        <v>34</v>
      </c>
      <c r="M28" s="1">
        <v>16</v>
      </c>
      <c r="N28" s="1">
        <v>99</v>
      </c>
      <c r="O28" s="6">
        <v>9224</v>
      </c>
      <c r="P28" s="1" t="s">
        <v>27</v>
      </c>
      <c r="Q28" s="6">
        <f>Table2[[#This Row],[Room Booked]]*Table2[[#This Row],[Price]]</f>
        <v>147584</v>
      </c>
      <c r="R28" s="6">
        <v>132825.60000000001</v>
      </c>
      <c r="S28" t="str" cm="1">
        <f t="array" ref="S28">_xlfn.XLOOKUP(Table2[[#This Row],[Country]],_xlfn.ANCHORARRAY($W$2),$X$2:$X$7)</f>
        <v>AUS</v>
      </c>
    </row>
    <row r="29" spans="1:19" x14ac:dyDescent="0.25">
      <c r="A29" s="1">
        <v>2023</v>
      </c>
      <c r="B29" s="1" t="s">
        <v>57</v>
      </c>
      <c r="C29" s="1" t="s">
        <v>59</v>
      </c>
      <c r="D29" s="1" t="s">
        <v>20</v>
      </c>
      <c r="E29" s="1" t="s">
        <v>21</v>
      </c>
      <c r="F29" s="1" t="s">
        <v>90</v>
      </c>
      <c r="G29" s="1">
        <v>56</v>
      </c>
      <c r="H29" s="1" t="s">
        <v>23</v>
      </c>
      <c r="I29" s="1" t="s">
        <v>41</v>
      </c>
      <c r="J29" s="2">
        <v>45074</v>
      </c>
      <c r="K29" s="1" t="s">
        <v>42</v>
      </c>
      <c r="L29" s="1" t="s">
        <v>43</v>
      </c>
      <c r="M29" s="1">
        <v>2</v>
      </c>
      <c r="N29" s="1">
        <v>80</v>
      </c>
      <c r="O29" s="6">
        <v>51720</v>
      </c>
      <c r="P29" s="1" t="s">
        <v>27</v>
      </c>
      <c r="Q29" s="6">
        <f>Table2[[#This Row],[Room Booked]]*Table2[[#This Row],[Price]]</f>
        <v>103440</v>
      </c>
      <c r="R29" s="6">
        <v>9697.5</v>
      </c>
      <c r="S29" t="str" cm="1">
        <f t="array" ref="S29">_xlfn.XLOOKUP(Table2[[#This Row],[Country]],_xlfn.ANCHORARRAY($W$2),$X$2:$X$7)</f>
        <v>AUS</v>
      </c>
    </row>
    <row r="30" spans="1:19" x14ac:dyDescent="0.25">
      <c r="A30" s="1">
        <v>2022</v>
      </c>
      <c r="B30" s="1" t="s">
        <v>53</v>
      </c>
      <c r="C30" s="1" t="s">
        <v>91</v>
      </c>
      <c r="D30" s="1" t="s">
        <v>92</v>
      </c>
      <c r="E30" s="1" t="s">
        <v>93</v>
      </c>
      <c r="F30" s="1" t="s">
        <v>22</v>
      </c>
      <c r="G30" s="1">
        <v>57</v>
      </c>
      <c r="H30" s="1" t="s">
        <v>23</v>
      </c>
      <c r="I30" s="1" t="s">
        <v>41</v>
      </c>
      <c r="J30" s="2">
        <v>44622</v>
      </c>
      <c r="K30" s="1" t="s">
        <v>46</v>
      </c>
      <c r="L30" s="1" t="s">
        <v>34</v>
      </c>
      <c r="M30" s="1">
        <v>14</v>
      </c>
      <c r="N30" s="1">
        <v>109</v>
      </c>
      <c r="O30" s="6">
        <v>4524</v>
      </c>
      <c r="P30" s="1" t="s">
        <v>27</v>
      </c>
      <c r="Q30" s="6">
        <f>Table2[[#This Row],[Room Booked]]*Table2[[#This Row],[Price]]</f>
        <v>63336</v>
      </c>
      <c r="R30" s="6">
        <v>44787.6</v>
      </c>
      <c r="S30" t="str" cm="1">
        <f t="array" ref="S30">_xlfn.XLOOKUP(Table2[[#This Row],[Country]],_xlfn.ANCHORARRAY($W$2),$X$2:$X$7)</f>
        <v>ITA</v>
      </c>
    </row>
    <row r="31" spans="1:19" x14ac:dyDescent="0.25">
      <c r="A31" s="1">
        <v>2022</v>
      </c>
      <c r="B31" s="1" t="s">
        <v>53</v>
      </c>
      <c r="C31" s="1" t="s">
        <v>91</v>
      </c>
      <c r="D31" s="1" t="s">
        <v>92</v>
      </c>
      <c r="E31" s="1" t="s">
        <v>93</v>
      </c>
      <c r="F31" s="1" t="s">
        <v>32</v>
      </c>
      <c r="G31" s="1">
        <v>57</v>
      </c>
      <c r="H31" s="1" t="s">
        <v>33</v>
      </c>
      <c r="I31" s="1" t="s">
        <v>41</v>
      </c>
      <c r="J31" s="2">
        <v>44624</v>
      </c>
      <c r="K31" s="1" t="s">
        <v>65</v>
      </c>
      <c r="L31" s="1" t="s">
        <v>43</v>
      </c>
      <c r="M31" s="1">
        <v>39</v>
      </c>
      <c r="N31" s="1">
        <v>82</v>
      </c>
      <c r="O31" s="6">
        <v>2691</v>
      </c>
      <c r="P31" s="1" t="s">
        <v>63</v>
      </c>
      <c r="Q31" s="6">
        <f>Table2[[#This Row],[Room Booked]]*Table2[[#This Row],[Price]]</f>
        <v>104949</v>
      </c>
      <c r="R31" s="6">
        <v>78308.099999999991</v>
      </c>
      <c r="S31" t="str" cm="1">
        <f t="array" ref="S31">_xlfn.XLOOKUP(Table2[[#This Row],[Country]],_xlfn.ANCHORARRAY($W$2),$X$2:$X$7)</f>
        <v>ITA</v>
      </c>
    </row>
    <row r="32" spans="1:19" x14ac:dyDescent="0.25">
      <c r="A32" s="1">
        <v>2023</v>
      </c>
      <c r="B32" s="1" t="s">
        <v>51</v>
      </c>
      <c r="C32" s="1" t="s">
        <v>29</v>
      </c>
      <c r="D32" s="1" t="s">
        <v>20</v>
      </c>
      <c r="E32" s="1" t="s">
        <v>21</v>
      </c>
      <c r="F32" s="1" t="s">
        <v>40</v>
      </c>
      <c r="G32" s="1">
        <v>60</v>
      </c>
      <c r="H32" s="1" t="s">
        <v>33</v>
      </c>
      <c r="I32" s="1" t="s">
        <v>24</v>
      </c>
      <c r="J32" s="2">
        <v>45171</v>
      </c>
      <c r="K32" s="1" t="s">
        <v>49</v>
      </c>
      <c r="L32" s="1" t="s">
        <v>34</v>
      </c>
      <c r="M32" s="1">
        <v>43</v>
      </c>
      <c r="N32" s="1">
        <v>104</v>
      </c>
      <c r="O32" s="6">
        <v>93888</v>
      </c>
      <c r="P32" s="1" t="s">
        <v>63</v>
      </c>
      <c r="Q32" s="6">
        <f>Table2[[#This Row],[Room Booked]]*Table2[[#This Row],[Price]]</f>
        <v>4037184</v>
      </c>
      <c r="R32" s="6">
        <v>96235.199999999997</v>
      </c>
      <c r="S32" t="str" cm="1">
        <f t="array" ref="S32">_xlfn.XLOOKUP(Table2[[#This Row],[Country]],_xlfn.ANCHORARRAY($W$2),$X$2:$X$7)</f>
        <v>AUS</v>
      </c>
    </row>
    <row r="33" spans="1:19" x14ac:dyDescent="0.25">
      <c r="A33" s="1">
        <v>2023</v>
      </c>
      <c r="B33" s="1" t="s">
        <v>69</v>
      </c>
      <c r="C33" s="1" t="s">
        <v>37</v>
      </c>
      <c r="D33" s="1" t="s">
        <v>38</v>
      </c>
      <c r="E33" s="1" t="s">
        <v>39</v>
      </c>
      <c r="F33" s="1" t="s">
        <v>45</v>
      </c>
      <c r="G33" s="1">
        <v>28</v>
      </c>
      <c r="H33" s="1" t="s">
        <v>23</v>
      </c>
      <c r="I33" s="1" t="s">
        <v>24</v>
      </c>
      <c r="J33" s="2">
        <v>45243</v>
      </c>
      <c r="K33" s="1" t="s">
        <v>46</v>
      </c>
      <c r="L33" s="1" t="s">
        <v>43</v>
      </c>
      <c r="M33" s="1">
        <v>27</v>
      </c>
      <c r="N33" s="1">
        <v>118</v>
      </c>
      <c r="O33" s="6">
        <v>6681</v>
      </c>
      <c r="P33" s="1" t="s">
        <v>50</v>
      </c>
      <c r="Q33" s="6">
        <f>Table2[[#This Row],[Room Booked]]*Table2[[#This Row],[Price]]</f>
        <v>180387</v>
      </c>
      <c r="R33" s="6">
        <v>132283.79999999999</v>
      </c>
      <c r="S33" t="str" cm="1">
        <f t="array" ref="S33">_xlfn.XLOOKUP(Table2[[#This Row],[Country]],_xlfn.ANCHORARRAY($W$2),$X$2:$X$7)</f>
        <v>IND</v>
      </c>
    </row>
    <row r="34" spans="1:19" x14ac:dyDescent="0.25">
      <c r="A34" s="1">
        <v>2023</v>
      </c>
      <c r="B34" s="1" t="s">
        <v>47</v>
      </c>
      <c r="C34" s="1" t="s">
        <v>37</v>
      </c>
      <c r="D34" s="1" t="s">
        <v>38</v>
      </c>
      <c r="E34" s="1" t="s">
        <v>39</v>
      </c>
      <c r="F34" s="1" t="s">
        <v>48</v>
      </c>
      <c r="G34" s="1">
        <v>38</v>
      </c>
      <c r="H34" s="1" t="s">
        <v>23</v>
      </c>
      <c r="I34" s="1" t="s">
        <v>24</v>
      </c>
      <c r="J34" s="2">
        <v>45291</v>
      </c>
      <c r="K34" s="1" t="s">
        <v>42</v>
      </c>
      <c r="L34" s="1" t="s">
        <v>43</v>
      </c>
      <c r="M34" s="1">
        <v>16</v>
      </c>
      <c r="N34" s="1">
        <v>104</v>
      </c>
      <c r="O34" s="6">
        <v>33680</v>
      </c>
      <c r="P34" s="1" t="s">
        <v>35</v>
      </c>
      <c r="Q34" s="6">
        <f>Table2[[#This Row],[Room Booked]]*Table2[[#This Row],[Price]]</f>
        <v>538880</v>
      </c>
      <c r="R34" s="6">
        <v>71991</v>
      </c>
      <c r="S34" t="str" cm="1">
        <f t="array" ref="S34">_xlfn.XLOOKUP(Table2[[#This Row],[Country]],_xlfn.ANCHORARRAY($W$2),$X$2:$X$7)</f>
        <v>IND</v>
      </c>
    </row>
    <row r="35" spans="1:19" x14ac:dyDescent="0.25">
      <c r="A35" s="1">
        <v>2022</v>
      </c>
      <c r="B35" s="1" t="s">
        <v>55</v>
      </c>
      <c r="C35" s="1" t="s">
        <v>94</v>
      </c>
      <c r="D35" s="1" t="s">
        <v>20</v>
      </c>
      <c r="E35" s="1" t="s">
        <v>21</v>
      </c>
      <c r="F35" s="1" t="s">
        <v>52</v>
      </c>
      <c r="G35" s="1">
        <v>56</v>
      </c>
      <c r="H35" s="1" t="s">
        <v>33</v>
      </c>
      <c r="I35" s="1" t="s">
        <v>24</v>
      </c>
      <c r="J35" s="2">
        <v>44786</v>
      </c>
      <c r="K35" s="1" t="s">
        <v>65</v>
      </c>
      <c r="L35" s="1" t="s">
        <v>34</v>
      </c>
      <c r="M35" s="1">
        <v>20</v>
      </c>
      <c r="N35" s="1">
        <v>93</v>
      </c>
      <c r="O35" s="6">
        <v>2344</v>
      </c>
      <c r="P35" s="1" t="s">
        <v>27</v>
      </c>
      <c r="Q35" s="6">
        <f>Table2[[#This Row],[Room Booked]]*Table2[[#This Row],[Price]]</f>
        <v>46880</v>
      </c>
      <c r="R35" s="6">
        <v>44301.599999999999</v>
      </c>
      <c r="S35" t="str" cm="1">
        <f t="array" ref="S35">_xlfn.XLOOKUP(Table2[[#This Row],[Country]],_xlfn.ANCHORARRAY($W$2),$X$2:$X$7)</f>
        <v>AUS</v>
      </c>
    </row>
    <row r="36" spans="1:19" x14ac:dyDescent="0.25">
      <c r="A36" s="1">
        <v>2022</v>
      </c>
      <c r="B36" s="1" t="s">
        <v>18</v>
      </c>
      <c r="C36" s="1" t="s">
        <v>37</v>
      </c>
      <c r="D36" s="1" t="s">
        <v>38</v>
      </c>
      <c r="E36" s="1" t="s">
        <v>39</v>
      </c>
      <c r="F36" s="1" t="s">
        <v>54</v>
      </c>
      <c r="G36" s="1">
        <v>68</v>
      </c>
      <c r="H36" s="1" t="s">
        <v>33</v>
      </c>
      <c r="I36" s="1" t="s">
        <v>24</v>
      </c>
      <c r="J36" s="2">
        <v>44584</v>
      </c>
      <c r="K36" s="1" t="s">
        <v>80</v>
      </c>
      <c r="L36" s="1" t="s">
        <v>43</v>
      </c>
      <c r="M36" s="1">
        <v>76</v>
      </c>
      <c r="N36" s="1">
        <v>110</v>
      </c>
      <c r="O36" s="6">
        <v>161408</v>
      </c>
      <c r="P36" s="1" t="s">
        <v>27</v>
      </c>
      <c r="Q36" s="6">
        <f>Table2[[#This Row],[Room Booked]]*Table2[[#This Row],[Price]]</f>
        <v>12267008</v>
      </c>
      <c r="R36" s="6">
        <v>43882.799999999996</v>
      </c>
      <c r="S36" t="str" cm="1">
        <f t="array" ref="S36">_xlfn.XLOOKUP(Table2[[#This Row],[Country]],_xlfn.ANCHORARRAY($W$2),$X$2:$X$7)</f>
        <v>IND</v>
      </c>
    </row>
    <row r="37" spans="1:19" x14ac:dyDescent="0.25">
      <c r="A37" s="1">
        <v>2023</v>
      </c>
      <c r="B37" s="1" t="s">
        <v>53</v>
      </c>
      <c r="C37" s="1" t="s">
        <v>37</v>
      </c>
      <c r="D37" s="1" t="s">
        <v>38</v>
      </c>
      <c r="E37" s="1" t="s">
        <v>39</v>
      </c>
      <c r="F37" s="1" t="s">
        <v>56</v>
      </c>
      <c r="G37" s="1">
        <v>50</v>
      </c>
      <c r="H37" s="1" t="s">
        <v>33</v>
      </c>
      <c r="I37" s="1" t="s">
        <v>24</v>
      </c>
      <c r="J37" s="2">
        <v>44989</v>
      </c>
      <c r="K37" s="1" t="s">
        <v>49</v>
      </c>
      <c r="L37" s="1" t="s">
        <v>43</v>
      </c>
      <c r="M37" s="1">
        <v>20</v>
      </c>
      <c r="N37" s="1">
        <v>81</v>
      </c>
      <c r="O37" s="6">
        <v>114744</v>
      </c>
      <c r="P37" s="1" t="s">
        <v>27</v>
      </c>
      <c r="Q37" s="6">
        <f>Table2[[#This Row],[Room Booked]]*Table2[[#This Row],[Price]]</f>
        <v>2294880</v>
      </c>
      <c r="R37" s="6">
        <v>58806.299999999996</v>
      </c>
      <c r="S37" t="str" cm="1">
        <f t="array" ref="S37">_xlfn.XLOOKUP(Table2[[#This Row],[Country]],_xlfn.ANCHORARRAY($W$2),$X$2:$X$7)</f>
        <v>IND</v>
      </c>
    </row>
    <row r="38" spans="1:19" x14ac:dyDescent="0.25">
      <c r="A38" s="1">
        <v>2022</v>
      </c>
      <c r="B38" s="1" t="s">
        <v>47</v>
      </c>
      <c r="C38" s="1" t="s">
        <v>37</v>
      </c>
      <c r="D38" s="1" t="s">
        <v>38</v>
      </c>
      <c r="E38" s="1" t="s">
        <v>39</v>
      </c>
      <c r="F38" s="1" t="s">
        <v>58</v>
      </c>
      <c r="G38" s="1">
        <v>46</v>
      </c>
      <c r="H38" s="1" t="s">
        <v>23</v>
      </c>
      <c r="I38" s="1" t="s">
        <v>24</v>
      </c>
      <c r="J38" s="2">
        <v>44906</v>
      </c>
      <c r="K38" s="1" t="s">
        <v>65</v>
      </c>
      <c r="L38" s="1" t="s">
        <v>43</v>
      </c>
      <c r="M38" s="1">
        <v>32</v>
      </c>
      <c r="N38" s="1">
        <v>101</v>
      </c>
      <c r="O38" s="6">
        <v>7104</v>
      </c>
      <c r="P38" s="1" t="s">
        <v>35</v>
      </c>
      <c r="Q38" s="6">
        <f>Table2[[#This Row],[Room Booked]]*Table2[[#This Row],[Price]]</f>
        <v>227328</v>
      </c>
      <c r="R38" s="6">
        <v>166233.60000000001</v>
      </c>
      <c r="S38" t="str" cm="1">
        <f t="array" ref="S38">_xlfn.XLOOKUP(Table2[[#This Row],[Country]],_xlfn.ANCHORARRAY($W$2),$X$2:$X$7)</f>
        <v>IND</v>
      </c>
    </row>
    <row r="39" spans="1:19" x14ac:dyDescent="0.25">
      <c r="A39" s="1">
        <v>2022</v>
      </c>
      <c r="B39" s="1" t="s">
        <v>36</v>
      </c>
      <c r="C39" s="1" t="s">
        <v>87</v>
      </c>
      <c r="D39" s="1" t="s">
        <v>71</v>
      </c>
      <c r="E39" s="1" t="s">
        <v>72</v>
      </c>
      <c r="F39" s="1" t="s">
        <v>62</v>
      </c>
      <c r="G39" s="1">
        <v>47</v>
      </c>
      <c r="H39" s="1" t="s">
        <v>33</v>
      </c>
      <c r="I39" s="1" t="s">
        <v>24</v>
      </c>
      <c r="J39" s="2">
        <v>44727</v>
      </c>
      <c r="K39" s="1" t="s">
        <v>25</v>
      </c>
      <c r="L39" s="1" t="s">
        <v>26</v>
      </c>
      <c r="M39" s="1">
        <v>15</v>
      </c>
      <c r="N39" s="1">
        <v>120</v>
      </c>
      <c r="O39" s="6">
        <v>5655</v>
      </c>
      <c r="P39" s="1" t="s">
        <v>63</v>
      </c>
      <c r="Q39" s="6">
        <f>Table2[[#This Row],[Room Booked]]*Table2[[#This Row],[Price]]</f>
        <v>84825</v>
      </c>
      <c r="R39" s="6">
        <v>62770.5</v>
      </c>
      <c r="S39" t="str" cm="1">
        <f t="array" ref="S39">_xlfn.XLOOKUP(Table2[[#This Row],[Country]],_xlfn.ANCHORARRAY($W$2),$X$2:$X$7)</f>
        <v>UAE</v>
      </c>
    </row>
    <row r="40" spans="1:19" x14ac:dyDescent="0.25">
      <c r="A40" s="1">
        <v>2023</v>
      </c>
      <c r="B40" s="1" t="s">
        <v>55</v>
      </c>
      <c r="C40" s="1" t="s">
        <v>91</v>
      </c>
      <c r="D40" s="1" t="s">
        <v>20</v>
      </c>
      <c r="E40" s="1" t="s">
        <v>21</v>
      </c>
      <c r="F40" s="1" t="s">
        <v>64</v>
      </c>
      <c r="G40" s="1">
        <v>26</v>
      </c>
      <c r="H40" s="1" t="s">
        <v>33</v>
      </c>
      <c r="I40" s="1" t="s">
        <v>24</v>
      </c>
      <c r="J40" s="2">
        <v>45148</v>
      </c>
      <c r="K40" s="1" t="s">
        <v>25</v>
      </c>
      <c r="L40" s="1" t="s">
        <v>26</v>
      </c>
      <c r="M40" s="1">
        <v>7</v>
      </c>
      <c r="N40" s="1">
        <v>119</v>
      </c>
      <c r="O40" s="6">
        <v>7802</v>
      </c>
      <c r="P40" s="1" t="s">
        <v>27</v>
      </c>
      <c r="Q40" s="6">
        <f>Table2[[#This Row],[Room Booked]]*Table2[[#This Row],[Price]]</f>
        <v>54614</v>
      </c>
      <c r="R40" s="6">
        <v>16384.2</v>
      </c>
      <c r="S40" t="str" cm="1">
        <f t="array" ref="S40">_xlfn.XLOOKUP(Table2[[#This Row],[Country]],_xlfn.ANCHORARRAY($W$2),$X$2:$X$7)</f>
        <v>AUS</v>
      </c>
    </row>
    <row r="41" spans="1:19" x14ac:dyDescent="0.25">
      <c r="A41" s="1">
        <v>2023</v>
      </c>
      <c r="B41" s="1" t="s">
        <v>28</v>
      </c>
      <c r="C41" s="1" t="s">
        <v>87</v>
      </c>
      <c r="D41" s="1" t="s">
        <v>71</v>
      </c>
      <c r="E41" s="1" t="s">
        <v>72</v>
      </c>
      <c r="F41" s="1" t="s">
        <v>66</v>
      </c>
      <c r="G41" s="1">
        <v>55</v>
      </c>
      <c r="H41" s="1" t="s">
        <v>33</v>
      </c>
      <c r="I41" s="1" t="s">
        <v>24</v>
      </c>
      <c r="J41" s="2">
        <v>45041</v>
      </c>
      <c r="K41" s="1" t="s">
        <v>80</v>
      </c>
      <c r="L41" s="1" t="s">
        <v>26</v>
      </c>
      <c r="M41" s="1">
        <v>7</v>
      </c>
      <c r="N41" s="1">
        <v>84</v>
      </c>
      <c r="O41" s="6">
        <v>19840</v>
      </c>
      <c r="P41" s="1" t="s">
        <v>63</v>
      </c>
      <c r="Q41" s="6">
        <f>Table2[[#This Row],[Room Booked]]*Table2[[#This Row],[Price]]</f>
        <v>138880</v>
      </c>
      <c r="R41" s="6">
        <v>2976</v>
      </c>
      <c r="S41" t="str" cm="1">
        <f t="array" ref="S41">_xlfn.XLOOKUP(Table2[[#This Row],[Country]],_xlfn.ANCHORARRAY($W$2),$X$2:$X$7)</f>
        <v>UAE</v>
      </c>
    </row>
    <row r="42" spans="1:19" x14ac:dyDescent="0.25">
      <c r="A42" s="1">
        <v>2023</v>
      </c>
      <c r="B42" s="1" t="s">
        <v>36</v>
      </c>
      <c r="C42" s="1" t="s">
        <v>87</v>
      </c>
      <c r="D42" s="1" t="s">
        <v>71</v>
      </c>
      <c r="E42" s="1" t="s">
        <v>72</v>
      </c>
      <c r="F42" s="1" t="s">
        <v>67</v>
      </c>
      <c r="G42" s="1">
        <v>57</v>
      </c>
      <c r="H42" s="1" t="s">
        <v>23</v>
      </c>
      <c r="I42" s="1" t="s">
        <v>24</v>
      </c>
      <c r="J42" s="2">
        <v>45088</v>
      </c>
      <c r="K42" s="1" t="s">
        <v>68</v>
      </c>
      <c r="L42" s="1" t="s">
        <v>43</v>
      </c>
      <c r="M42" s="1">
        <v>40</v>
      </c>
      <c r="N42" s="1">
        <v>97</v>
      </c>
      <c r="O42" s="6">
        <v>50560</v>
      </c>
      <c r="P42" s="1" t="s">
        <v>63</v>
      </c>
      <c r="Q42" s="6">
        <f>Table2[[#This Row],[Room Booked]]*Table2[[#This Row],[Price]]</f>
        <v>2022400</v>
      </c>
      <c r="R42" s="6">
        <v>77517</v>
      </c>
      <c r="S42" t="str" cm="1">
        <f t="array" ref="S42">_xlfn.XLOOKUP(Table2[[#This Row],[Country]],_xlfn.ANCHORARRAY($W$2),$X$2:$X$7)</f>
        <v>UAE</v>
      </c>
    </row>
    <row r="43" spans="1:19" x14ac:dyDescent="0.25">
      <c r="A43" s="1">
        <v>2022</v>
      </c>
      <c r="B43" s="1" t="s">
        <v>36</v>
      </c>
      <c r="C43" s="1" t="s">
        <v>37</v>
      </c>
      <c r="D43" s="1" t="s">
        <v>38</v>
      </c>
      <c r="E43" s="1" t="s">
        <v>39</v>
      </c>
      <c r="F43" s="1" t="s">
        <v>73</v>
      </c>
      <c r="G43" s="1">
        <v>69</v>
      </c>
      <c r="H43" s="1" t="s">
        <v>23</v>
      </c>
      <c r="I43" s="1" t="s">
        <v>24</v>
      </c>
      <c r="J43" s="2">
        <v>44715</v>
      </c>
      <c r="K43" s="1" t="s">
        <v>65</v>
      </c>
      <c r="L43" s="1" t="s">
        <v>43</v>
      </c>
      <c r="M43" s="1">
        <v>37</v>
      </c>
      <c r="N43" s="1">
        <v>107</v>
      </c>
      <c r="O43" s="6">
        <v>4351</v>
      </c>
      <c r="P43" s="1" t="s">
        <v>27</v>
      </c>
      <c r="Q43" s="6">
        <f>Table2[[#This Row],[Room Booked]]*Table2[[#This Row],[Price]]</f>
        <v>160987</v>
      </c>
      <c r="R43" s="6">
        <v>118782.29999999999</v>
      </c>
      <c r="S43" t="str" cm="1">
        <f t="array" ref="S43">_xlfn.XLOOKUP(Table2[[#This Row],[Country]],_xlfn.ANCHORARRAY($W$2),$X$2:$X$7)</f>
        <v>IND</v>
      </c>
    </row>
    <row r="44" spans="1:19" x14ac:dyDescent="0.25">
      <c r="A44" s="1">
        <v>2022</v>
      </c>
      <c r="B44" s="1" t="s">
        <v>55</v>
      </c>
      <c r="C44" s="1" t="s">
        <v>87</v>
      </c>
      <c r="D44" s="1" t="s">
        <v>71</v>
      </c>
      <c r="E44" s="1" t="s">
        <v>72</v>
      </c>
      <c r="F44" s="1" t="s">
        <v>74</v>
      </c>
      <c r="G44" s="1">
        <v>23</v>
      </c>
      <c r="H44" s="1" t="s">
        <v>33</v>
      </c>
      <c r="I44" s="1" t="s">
        <v>24</v>
      </c>
      <c r="J44" s="2">
        <v>44790</v>
      </c>
      <c r="K44" s="1" t="s">
        <v>49</v>
      </c>
      <c r="L44" s="1" t="s">
        <v>43</v>
      </c>
      <c r="M44" s="1">
        <v>10</v>
      </c>
      <c r="N44" s="1">
        <v>97</v>
      </c>
      <c r="O44" s="6">
        <v>118152</v>
      </c>
      <c r="P44" s="1" t="s">
        <v>63</v>
      </c>
      <c r="Q44" s="6">
        <f>Table2[[#This Row],[Room Booked]]*Table2[[#This Row],[Price]]</f>
        <v>1181520</v>
      </c>
      <c r="R44" s="6">
        <v>146213.1</v>
      </c>
      <c r="S44" t="str" cm="1">
        <f t="array" ref="S44">_xlfn.XLOOKUP(Table2[[#This Row],[Country]],_xlfn.ANCHORARRAY($W$2),$X$2:$X$7)</f>
        <v>UAE</v>
      </c>
    </row>
    <row r="45" spans="1:19" x14ac:dyDescent="0.25">
      <c r="A45" s="1">
        <v>2022</v>
      </c>
      <c r="B45" s="1" t="s">
        <v>55</v>
      </c>
      <c r="C45" s="1" t="s">
        <v>94</v>
      </c>
      <c r="D45" s="1" t="s">
        <v>60</v>
      </c>
      <c r="E45" s="1" t="s">
        <v>61</v>
      </c>
      <c r="F45" s="1" t="s">
        <v>75</v>
      </c>
      <c r="G45" s="1">
        <v>54</v>
      </c>
      <c r="H45" s="1" t="s">
        <v>23</v>
      </c>
      <c r="I45" s="1" t="s">
        <v>24</v>
      </c>
      <c r="J45" s="2">
        <v>44776</v>
      </c>
      <c r="K45" s="1" t="s">
        <v>68</v>
      </c>
      <c r="L45" s="1" t="s">
        <v>43</v>
      </c>
      <c r="M45" s="1">
        <v>28</v>
      </c>
      <c r="N45" s="1">
        <v>123</v>
      </c>
      <c r="O45" s="6">
        <v>52768</v>
      </c>
      <c r="P45" s="1" t="s">
        <v>63</v>
      </c>
      <c r="Q45" s="6">
        <f>Table2[[#This Row],[Room Booked]]*Table2[[#This Row],[Price]]</f>
        <v>1477504</v>
      </c>
      <c r="R45" s="6">
        <v>117463.2</v>
      </c>
      <c r="S45" t="str" cm="1">
        <f t="array" ref="S45">_xlfn.XLOOKUP(Table2[[#This Row],[Country]],_xlfn.ANCHORARRAY($W$2),$X$2:$X$7)</f>
        <v>USA</v>
      </c>
    </row>
    <row r="46" spans="1:19" x14ac:dyDescent="0.25">
      <c r="A46" s="1">
        <v>2023</v>
      </c>
      <c r="B46" s="1" t="s">
        <v>76</v>
      </c>
      <c r="C46" s="1" t="s">
        <v>37</v>
      </c>
      <c r="D46" s="1" t="s">
        <v>20</v>
      </c>
      <c r="E46" s="1" t="s">
        <v>21</v>
      </c>
      <c r="F46" s="1" t="s">
        <v>77</v>
      </c>
      <c r="G46" s="1">
        <v>62</v>
      </c>
      <c r="H46" s="1" t="s">
        <v>23</v>
      </c>
      <c r="I46" s="1" t="s">
        <v>24</v>
      </c>
      <c r="J46" s="2">
        <v>45125</v>
      </c>
      <c r="K46" s="1" t="s">
        <v>42</v>
      </c>
      <c r="L46" s="1" t="s">
        <v>43</v>
      </c>
      <c r="M46" s="1">
        <v>24</v>
      </c>
      <c r="N46" s="1">
        <v>104</v>
      </c>
      <c r="O46" s="6">
        <v>26616</v>
      </c>
      <c r="P46" s="1" t="s">
        <v>27</v>
      </c>
      <c r="Q46" s="6">
        <f>Table2[[#This Row],[Room Booked]]*Table2[[#This Row],[Price]]</f>
        <v>638784</v>
      </c>
      <c r="R46" s="6">
        <v>58887.9</v>
      </c>
      <c r="S46" t="str" cm="1">
        <f t="array" ref="S46">_xlfn.XLOOKUP(Table2[[#This Row],[Country]],_xlfn.ANCHORARRAY($W$2),$X$2:$X$7)</f>
        <v>AUS</v>
      </c>
    </row>
    <row r="47" spans="1:19" x14ac:dyDescent="0.25">
      <c r="A47" s="1">
        <v>2023</v>
      </c>
      <c r="B47" s="1" t="s">
        <v>36</v>
      </c>
      <c r="C47" s="1" t="s">
        <v>94</v>
      </c>
      <c r="D47" s="1" t="s">
        <v>60</v>
      </c>
      <c r="E47" s="1" t="s">
        <v>61</v>
      </c>
      <c r="F47" s="1" t="s">
        <v>78</v>
      </c>
      <c r="G47" s="1">
        <v>68</v>
      </c>
      <c r="H47" s="1" t="s">
        <v>33</v>
      </c>
      <c r="I47" s="1" t="s">
        <v>24</v>
      </c>
      <c r="J47" s="2">
        <v>45099</v>
      </c>
      <c r="K47" s="1" t="s">
        <v>68</v>
      </c>
      <c r="L47" s="1" t="s">
        <v>26</v>
      </c>
      <c r="M47" s="1">
        <v>28</v>
      </c>
      <c r="N47" s="1">
        <v>99</v>
      </c>
      <c r="O47" s="6">
        <v>23616</v>
      </c>
      <c r="P47" s="1" t="s">
        <v>50</v>
      </c>
      <c r="Q47" s="6">
        <f>Table2[[#This Row],[Room Booked]]*Table2[[#This Row],[Price]]</f>
        <v>661248</v>
      </c>
      <c r="R47" s="6">
        <v>31350.3</v>
      </c>
      <c r="S47" t="str" cm="1">
        <f t="array" ref="S47">_xlfn.XLOOKUP(Table2[[#This Row],[Country]],_xlfn.ANCHORARRAY($W$2),$X$2:$X$7)</f>
        <v>USA</v>
      </c>
    </row>
    <row r="48" spans="1:19" x14ac:dyDescent="0.25">
      <c r="A48" s="1">
        <v>2022</v>
      </c>
      <c r="B48" s="1" t="s">
        <v>36</v>
      </c>
      <c r="C48" s="1" t="s">
        <v>87</v>
      </c>
      <c r="D48" s="1" t="s">
        <v>71</v>
      </c>
      <c r="E48" s="1" t="s">
        <v>72</v>
      </c>
      <c r="F48" s="1" t="s">
        <v>79</v>
      </c>
      <c r="G48" s="1">
        <v>38</v>
      </c>
      <c r="H48" s="1" t="s">
        <v>33</v>
      </c>
      <c r="I48" s="1" t="s">
        <v>24</v>
      </c>
      <c r="J48" s="2">
        <v>44739</v>
      </c>
      <c r="K48" s="1" t="s">
        <v>46</v>
      </c>
      <c r="L48" s="1" t="s">
        <v>43</v>
      </c>
      <c r="M48" s="1">
        <v>30</v>
      </c>
      <c r="N48" s="1">
        <v>84</v>
      </c>
      <c r="O48" s="6">
        <v>7804</v>
      </c>
      <c r="P48" s="1" t="s">
        <v>27</v>
      </c>
      <c r="Q48" s="6">
        <f>Table2[[#This Row],[Room Booked]]*Table2[[#This Row],[Price]]</f>
        <v>234120</v>
      </c>
      <c r="R48" s="6">
        <v>173248.8</v>
      </c>
      <c r="S48" t="str" cm="1">
        <f t="array" ref="S48">_xlfn.XLOOKUP(Table2[[#This Row],[Country]],_xlfn.ANCHORARRAY($W$2),$X$2:$X$7)</f>
        <v>UAE</v>
      </c>
    </row>
    <row r="49" spans="1:19" x14ac:dyDescent="0.25">
      <c r="A49" s="1">
        <v>2022</v>
      </c>
      <c r="B49" s="1" t="s">
        <v>53</v>
      </c>
      <c r="C49" s="1" t="s">
        <v>37</v>
      </c>
      <c r="D49" s="1" t="s">
        <v>20</v>
      </c>
      <c r="E49" s="1" t="s">
        <v>21</v>
      </c>
      <c r="F49" s="1" t="s">
        <v>81</v>
      </c>
      <c r="G49" s="1">
        <v>40</v>
      </c>
      <c r="H49" s="1" t="s">
        <v>33</v>
      </c>
      <c r="I49" s="1" t="s">
        <v>24</v>
      </c>
      <c r="J49" s="2">
        <v>44629</v>
      </c>
      <c r="K49" s="1" t="s">
        <v>25</v>
      </c>
      <c r="L49" s="1" t="s">
        <v>26</v>
      </c>
      <c r="M49" s="1">
        <v>10</v>
      </c>
      <c r="N49" s="1">
        <v>118</v>
      </c>
      <c r="O49" s="6">
        <v>9387</v>
      </c>
      <c r="P49" s="1" t="s">
        <v>63</v>
      </c>
      <c r="Q49" s="6">
        <f>Table2[[#This Row],[Room Booked]]*Table2[[#This Row],[Price]]</f>
        <v>93870</v>
      </c>
      <c r="R49" s="6">
        <v>67586.399999999994</v>
      </c>
      <c r="S49" t="str" cm="1">
        <f t="array" ref="S49">_xlfn.XLOOKUP(Table2[[#This Row],[Country]],_xlfn.ANCHORARRAY($W$2),$X$2:$X$7)</f>
        <v>AUS</v>
      </c>
    </row>
    <row r="50" spans="1:19" x14ac:dyDescent="0.25">
      <c r="A50" s="1">
        <v>2022</v>
      </c>
      <c r="B50" s="1" t="s">
        <v>51</v>
      </c>
      <c r="C50" s="1" t="s">
        <v>87</v>
      </c>
      <c r="D50" s="1" t="s">
        <v>71</v>
      </c>
      <c r="E50" s="1" t="s">
        <v>72</v>
      </c>
      <c r="F50" s="1" t="s">
        <v>82</v>
      </c>
      <c r="G50" s="1">
        <v>20</v>
      </c>
      <c r="H50" s="1" t="s">
        <v>23</v>
      </c>
      <c r="I50" s="1" t="s">
        <v>24</v>
      </c>
      <c r="J50" s="2">
        <v>44810</v>
      </c>
      <c r="K50" s="1" t="s">
        <v>46</v>
      </c>
      <c r="L50" s="1" t="s">
        <v>34</v>
      </c>
      <c r="M50" s="1">
        <v>19</v>
      </c>
      <c r="N50" s="1">
        <v>83</v>
      </c>
      <c r="O50" s="6">
        <v>6073</v>
      </c>
      <c r="P50" s="1" t="s">
        <v>27</v>
      </c>
      <c r="Q50" s="6">
        <f>Table2[[#This Row],[Room Booked]]*Table2[[#This Row],[Price]]</f>
        <v>115387</v>
      </c>
      <c r="R50" s="6">
        <v>83807.399999999994</v>
      </c>
      <c r="S50" t="str" cm="1">
        <f t="array" ref="S50">_xlfn.XLOOKUP(Table2[[#This Row],[Country]],_xlfn.ANCHORARRAY($W$2),$X$2:$X$7)</f>
        <v>UAE</v>
      </c>
    </row>
    <row r="51" spans="1:19" x14ac:dyDescent="0.25">
      <c r="A51" s="1">
        <v>2023</v>
      </c>
      <c r="B51" s="1" t="s">
        <v>44</v>
      </c>
      <c r="C51" s="1" t="s">
        <v>87</v>
      </c>
      <c r="D51" s="1" t="s">
        <v>71</v>
      </c>
      <c r="E51" s="1" t="s">
        <v>72</v>
      </c>
      <c r="F51" s="1" t="s">
        <v>83</v>
      </c>
      <c r="G51" s="1">
        <v>72</v>
      </c>
      <c r="H51" s="1" t="s">
        <v>23</v>
      </c>
      <c r="I51" s="1" t="s">
        <v>41</v>
      </c>
      <c r="J51" s="2">
        <v>45206</v>
      </c>
      <c r="K51" s="1" t="s">
        <v>65</v>
      </c>
      <c r="L51" s="1" t="s">
        <v>26</v>
      </c>
      <c r="M51" s="1">
        <v>32</v>
      </c>
      <c r="N51" s="1">
        <v>83</v>
      </c>
      <c r="O51" s="6">
        <v>1924</v>
      </c>
      <c r="P51" s="1" t="s">
        <v>35</v>
      </c>
      <c r="Q51" s="6">
        <f>Table2[[#This Row],[Room Booked]]*Table2[[#This Row],[Price]]</f>
        <v>61568</v>
      </c>
      <c r="R51" s="6">
        <v>45021.599999999999</v>
      </c>
      <c r="S51" t="str" cm="1">
        <f t="array" ref="S51">_xlfn.XLOOKUP(Table2[[#This Row],[Country]],_xlfn.ANCHORARRAY($W$2),$X$2:$X$7)</f>
        <v>UAE</v>
      </c>
    </row>
    <row r="52" spans="1:19" x14ac:dyDescent="0.25">
      <c r="A52" s="1">
        <v>2023</v>
      </c>
      <c r="B52" s="1" t="s">
        <v>55</v>
      </c>
      <c r="C52" s="1" t="s">
        <v>37</v>
      </c>
      <c r="D52" s="1" t="s">
        <v>38</v>
      </c>
      <c r="E52" s="1" t="s">
        <v>39</v>
      </c>
      <c r="F52" s="1" t="s">
        <v>84</v>
      </c>
      <c r="G52" s="1">
        <v>55</v>
      </c>
      <c r="H52" s="1" t="s">
        <v>33</v>
      </c>
      <c r="I52" s="1" t="s">
        <v>41</v>
      </c>
      <c r="J52" s="2">
        <v>45162</v>
      </c>
      <c r="K52" s="1" t="s">
        <v>25</v>
      </c>
      <c r="L52" s="1" t="s">
        <v>34</v>
      </c>
      <c r="M52" s="1">
        <v>34</v>
      </c>
      <c r="N52" s="1">
        <v>114</v>
      </c>
      <c r="O52" s="6">
        <v>2871</v>
      </c>
      <c r="P52" s="1" t="s">
        <v>63</v>
      </c>
      <c r="Q52" s="6">
        <f>Table2[[#This Row],[Room Booked]]*Table2[[#This Row],[Price]]</f>
        <v>97614</v>
      </c>
      <c r="R52" s="6">
        <v>71487.899999999994</v>
      </c>
      <c r="S52" t="str" cm="1">
        <f t="array" ref="S52">_xlfn.XLOOKUP(Table2[[#This Row],[Country]],_xlfn.ANCHORARRAY($W$2),$X$2:$X$7)</f>
        <v>IND</v>
      </c>
    </row>
    <row r="53" spans="1:19" x14ac:dyDescent="0.25">
      <c r="A53" s="1">
        <v>2023</v>
      </c>
      <c r="B53" s="1" t="s">
        <v>95</v>
      </c>
      <c r="C53" s="1" t="s">
        <v>87</v>
      </c>
      <c r="D53" s="1" t="s">
        <v>71</v>
      </c>
      <c r="E53" s="1" t="s">
        <v>72</v>
      </c>
      <c r="F53" s="1" t="s">
        <v>85</v>
      </c>
      <c r="G53" s="1">
        <v>60</v>
      </c>
      <c r="H53" s="1" t="s">
        <v>23</v>
      </c>
      <c r="I53" s="1" t="s">
        <v>41</v>
      </c>
      <c r="J53" s="2">
        <v>44963</v>
      </c>
      <c r="K53" s="1" t="s">
        <v>49</v>
      </c>
      <c r="L53" s="1" t="s">
        <v>26</v>
      </c>
      <c r="M53" s="1">
        <v>26</v>
      </c>
      <c r="N53" s="1">
        <v>112</v>
      </c>
      <c r="O53" s="6">
        <v>119736</v>
      </c>
      <c r="P53" s="1" t="s">
        <v>27</v>
      </c>
      <c r="Q53" s="6">
        <f>Table2[[#This Row],[Room Booked]]*Table2[[#This Row],[Price]]</f>
        <v>3113136</v>
      </c>
      <c r="R53" s="6">
        <v>94292.099999999991</v>
      </c>
      <c r="S53" t="str" cm="1">
        <f t="array" ref="S53">_xlfn.XLOOKUP(Table2[[#This Row],[Country]],_xlfn.ANCHORARRAY($W$2),$X$2:$X$7)</f>
        <v>UAE</v>
      </c>
    </row>
    <row r="54" spans="1:19" x14ac:dyDescent="0.25">
      <c r="A54" s="1">
        <v>2022</v>
      </c>
      <c r="B54" s="1" t="s">
        <v>36</v>
      </c>
      <c r="C54" s="1" t="s">
        <v>94</v>
      </c>
      <c r="D54" s="1" t="s">
        <v>60</v>
      </c>
      <c r="E54" s="1" t="s">
        <v>61</v>
      </c>
      <c r="F54" s="1" t="s">
        <v>86</v>
      </c>
      <c r="G54" s="1">
        <v>52</v>
      </c>
      <c r="H54" s="1" t="s">
        <v>33</v>
      </c>
      <c r="I54" s="1" t="s">
        <v>41</v>
      </c>
      <c r="J54" s="2">
        <v>44738</v>
      </c>
      <c r="K54" s="1" t="s">
        <v>46</v>
      </c>
      <c r="L54" s="1" t="s">
        <v>26</v>
      </c>
      <c r="M54" s="1">
        <v>15</v>
      </c>
      <c r="N54" s="1">
        <v>106</v>
      </c>
      <c r="O54" s="6">
        <v>8278</v>
      </c>
      <c r="P54" s="1" t="s">
        <v>27</v>
      </c>
      <c r="Q54" s="6">
        <f>Table2[[#This Row],[Room Booked]]*Table2[[#This Row],[Price]]</f>
        <v>124170</v>
      </c>
      <c r="R54" s="6">
        <v>89402.4</v>
      </c>
      <c r="S54" t="str" cm="1">
        <f t="array" ref="S54">_xlfn.XLOOKUP(Table2[[#This Row],[Country]],_xlfn.ANCHORARRAY($W$2),$X$2:$X$7)</f>
        <v>USA</v>
      </c>
    </row>
    <row r="55" spans="1:19" x14ac:dyDescent="0.25">
      <c r="A55" s="1">
        <v>2022</v>
      </c>
      <c r="B55" s="1" t="s">
        <v>69</v>
      </c>
      <c r="C55" s="1" t="s">
        <v>29</v>
      </c>
      <c r="D55" s="1" t="s">
        <v>30</v>
      </c>
      <c r="E55" s="1" t="s">
        <v>31</v>
      </c>
      <c r="F55" s="1" t="s">
        <v>88</v>
      </c>
      <c r="G55" s="1">
        <v>20</v>
      </c>
      <c r="H55" s="1" t="s">
        <v>33</v>
      </c>
      <c r="I55" s="1" t="s">
        <v>24</v>
      </c>
      <c r="J55" s="2">
        <v>44866</v>
      </c>
      <c r="K55" s="1" t="s">
        <v>46</v>
      </c>
      <c r="L55" s="1" t="s">
        <v>34</v>
      </c>
      <c r="M55" s="1">
        <v>19</v>
      </c>
      <c r="N55" s="1">
        <v>125</v>
      </c>
      <c r="O55" s="6">
        <v>7364</v>
      </c>
      <c r="P55" s="1" t="s">
        <v>27</v>
      </c>
      <c r="Q55" s="6">
        <f>Table2[[#This Row],[Room Booked]]*Table2[[#This Row],[Price]]</f>
        <v>139916</v>
      </c>
      <c r="R55" s="6">
        <v>46393.2</v>
      </c>
      <c r="S55" t="str" cm="1">
        <f t="array" ref="S55">_xlfn.XLOOKUP(Table2[[#This Row],[Country]],_xlfn.ANCHORARRAY($W$2),$X$2:$X$7)</f>
        <v>UK</v>
      </c>
    </row>
    <row r="56" spans="1:19" x14ac:dyDescent="0.25">
      <c r="A56" s="1">
        <v>2022</v>
      </c>
      <c r="B56" s="1" t="s">
        <v>76</v>
      </c>
      <c r="C56" s="1" t="s">
        <v>87</v>
      </c>
      <c r="D56" s="1" t="s">
        <v>71</v>
      </c>
      <c r="E56" s="1" t="s">
        <v>72</v>
      </c>
      <c r="F56" s="1" t="s">
        <v>89</v>
      </c>
      <c r="G56" s="1">
        <v>27</v>
      </c>
      <c r="H56" s="1" t="s">
        <v>33</v>
      </c>
      <c r="I56" s="1" t="s">
        <v>24</v>
      </c>
      <c r="J56" s="2">
        <v>44746</v>
      </c>
      <c r="K56" s="1" t="s">
        <v>49</v>
      </c>
      <c r="L56" s="1" t="s">
        <v>26</v>
      </c>
      <c r="M56" s="1">
        <v>6</v>
      </c>
      <c r="N56" s="1">
        <v>94</v>
      </c>
      <c r="O56" s="6">
        <v>122880</v>
      </c>
      <c r="P56" s="1" t="s">
        <v>35</v>
      </c>
      <c r="Q56" s="6">
        <f>Table2[[#This Row],[Room Booked]]*Table2[[#This Row],[Price]]</f>
        <v>737280</v>
      </c>
      <c r="R56" s="6">
        <v>19968</v>
      </c>
      <c r="S56" t="str" cm="1">
        <f t="array" ref="S56">_xlfn.XLOOKUP(Table2[[#This Row],[Country]],_xlfn.ANCHORARRAY($W$2),$X$2:$X$7)</f>
        <v>UAE</v>
      </c>
    </row>
    <row r="57" spans="1:19" x14ac:dyDescent="0.25">
      <c r="A57" s="1">
        <v>2022</v>
      </c>
      <c r="B57" s="1" t="s">
        <v>47</v>
      </c>
      <c r="C57" s="1" t="s">
        <v>19</v>
      </c>
      <c r="D57" s="1" t="s">
        <v>20</v>
      </c>
      <c r="E57" s="1" t="s">
        <v>21</v>
      </c>
      <c r="F57" s="1" t="s">
        <v>90</v>
      </c>
      <c r="G57" s="1">
        <v>35</v>
      </c>
      <c r="H57" s="1" t="s">
        <v>33</v>
      </c>
      <c r="I57" s="1" t="s">
        <v>24</v>
      </c>
      <c r="J57" s="2">
        <v>44907</v>
      </c>
      <c r="K57" s="1" t="s">
        <v>49</v>
      </c>
      <c r="L57" s="1" t="s">
        <v>34</v>
      </c>
      <c r="M57" s="1">
        <v>16</v>
      </c>
      <c r="N57" s="1">
        <v>119</v>
      </c>
      <c r="O57" s="6">
        <v>116352</v>
      </c>
      <c r="P57" s="1" t="s">
        <v>50</v>
      </c>
      <c r="Q57" s="6">
        <f>Table2[[#This Row],[Room Booked]]*Table2[[#This Row],[Price]]</f>
        <v>1861632</v>
      </c>
      <c r="R57" s="6">
        <v>91627.199999999997</v>
      </c>
      <c r="S57" t="str" cm="1">
        <f t="array" ref="S57">_xlfn.XLOOKUP(Table2[[#This Row],[Country]],_xlfn.ANCHORARRAY($W$2),$X$2:$X$7)</f>
        <v>AUS</v>
      </c>
    </row>
    <row r="58" spans="1:19" x14ac:dyDescent="0.25">
      <c r="A58" s="1">
        <v>2023</v>
      </c>
      <c r="B58" s="1" t="s">
        <v>18</v>
      </c>
      <c r="C58" s="1" t="s">
        <v>87</v>
      </c>
      <c r="D58" s="1" t="s">
        <v>71</v>
      </c>
      <c r="E58" s="1" t="s">
        <v>72</v>
      </c>
      <c r="F58" s="1" t="s">
        <v>22</v>
      </c>
      <c r="G58" s="1">
        <v>44</v>
      </c>
      <c r="H58" s="1" t="s">
        <v>33</v>
      </c>
      <c r="I58" s="1" t="s">
        <v>41</v>
      </c>
      <c r="J58" s="2">
        <v>44948</v>
      </c>
      <c r="K58" s="1" t="s">
        <v>68</v>
      </c>
      <c r="L58" s="1" t="s">
        <v>43</v>
      </c>
      <c r="M58" s="1">
        <v>32</v>
      </c>
      <c r="N58" s="1">
        <v>80</v>
      </c>
      <c r="O58" s="6">
        <v>72768</v>
      </c>
      <c r="P58" s="1" t="s">
        <v>50</v>
      </c>
      <c r="Q58" s="6">
        <f>Table2[[#This Row],[Room Booked]]*Table2[[#This Row],[Price]]</f>
        <v>2328576</v>
      </c>
      <c r="R58" s="6">
        <v>166089.60000000001</v>
      </c>
      <c r="S58" t="str" cm="1">
        <f t="array" ref="S58">_xlfn.XLOOKUP(Table2[[#This Row],[Country]],_xlfn.ANCHORARRAY($W$2),$X$2:$X$7)</f>
        <v>UAE</v>
      </c>
    </row>
    <row r="59" spans="1:19" x14ac:dyDescent="0.25">
      <c r="A59" s="1">
        <v>2022</v>
      </c>
      <c r="B59" s="1" t="s">
        <v>47</v>
      </c>
      <c r="C59" s="1" t="s">
        <v>87</v>
      </c>
      <c r="D59" s="1" t="s">
        <v>20</v>
      </c>
      <c r="E59" s="1" t="s">
        <v>21</v>
      </c>
      <c r="F59" s="1" t="s">
        <v>32</v>
      </c>
      <c r="G59" s="1">
        <v>63</v>
      </c>
      <c r="H59" s="1" t="s">
        <v>33</v>
      </c>
      <c r="I59" s="1" t="s">
        <v>41</v>
      </c>
      <c r="J59" s="2">
        <v>44926</v>
      </c>
      <c r="K59" s="1" t="s">
        <v>49</v>
      </c>
      <c r="L59" s="1" t="s">
        <v>43</v>
      </c>
      <c r="M59" s="1">
        <v>38</v>
      </c>
      <c r="N59" s="1">
        <v>115</v>
      </c>
      <c r="O59" s="6">
        <v>132480</v>
      </c>
      <c r="P59" s="1" t="s">
        <v>27</v>
      </c>
      <c r="Q59" s="6">
        <f>Table2[[#This Row],[Room Booked]]*Table2[[#This Row],[Price]]</f>
        <v>5034240</v>
      </c>
      <c r="R59" s="6">
        <v>157320</v>
      </c>
      <c r="S59" t="str" cm="1">
        <f t="array" ref="S59">_xlfn.XLOOKUP(Table2[[#This Row],[Country]],_xlfn.ANCHORARRAY($W$2),$X$2:$X$7)</f>
        <v>AUS</v>
      </c>
    </row>
    <row r="60" spans="1:19" x14ac:dyDescent="0.25">
      <c r="A60" s="1">
        <v>2022</v>
      </c>
      <c r="B60" s="1" t="s">
        <v>57</v>
      </c>
      <c r="C60" s="1" t="s">
        <v>70</v>
      </c>
      <c r="D60" s="1" t="s">
        <v>20</v>
      </c>
      <c r="E60" s="1" t="s">
        <v>21</v>
      </c>
      <c r="F60" s="1" t="s">
        <v>40</v>
      </c>
      <c r="G60" s="1">
        <v>37</v>
      </c>
      <c r="H60" s="1" t="s">
        <v>33</v>
      </c>
      <c r="I60" s="1" t="s">
        <v>24</v>
      </c>
      <c r="J60" s="2">
        <v>44701</v>
      </c>
      <c r="K60" s="1" t="s">
        <v>80</v>
      </c>
      <c r="L60" s="1" t="s">
        <v>34</v>
      </c>
      <c r="M60" s="1">
        <v>38</v>
      </c>
      <c r="N60" s="1">
        <v>115</v>
      </c>
      <c r="O60" s="6">
        <v>241984</v>
      </c>
      <c r="P60" s="1" t="s">
        <v>27</v>
      </c>
      <c r="Q60" s="6">
        <f>Table2[[#This Row],[Room Booked]]*Table2[[#This Row],[Price]]</f>
        <v>9195392</v>
      </c>
      <c r="R60" s="6">
        <v>215517</v>
      </c>
      <c r="S60" t="str" cm="1">
        <f t="array" ref="S60">_xlfn.XLOOKUP(Table2[[#This Row],[Country]],_xlfn.ANCHORARRAY($W$2),$X$2:$X$7)</f>
        <v>AUS</v>
      </c>
    </row>
    <row r="61" spans="1:19" x14ac:dyDescent="0.25">
      <c r="A61" s="1">
        <v>2023</v>
      </c>
      <c r="B61" s="1" t="s">
        <v>57</v>
      </c>
      <c r="C61" s="1" t="s">
        <v>37</v>
      </c>
      <c r="D61" s="1" t="s">
        <v>38</v>
      </c>
      <c r="E61" s="1" t="s">
        <v>39</v>
      </c>
      <c r="F61" s="1" t="s">
        <v>45</v>
      </c>
      <c r="G61" s="1">
        <v>23</v>
      </c>
      <c r="H61" s="1" t="s">
        <v>33</v>
      </c>
      <c r="I61" s="1" t="s">
        <v>41</v>
      </c>
      <c r="J61" s="2">
        <v>45058</v>
      </c>
      <c r="K61" s="1" t="s">
        <v>42</v>
      </c>
      <c r="L61" s="1" t="s">
        <v>43</v>
      </c>
      <c r="M61" s="1">
        <v>71</v>
      </c>
      <c r="N61" s="1">
        <v>77</v>
      </c>
      <c r="O61" s="6">
        <v>29216</v>
      </c>
      <c r="P61" s="1" t="s">
        <v>27</v>
      </c>
      <c r="Q61" s="6">
        <f>Table2[[#This Row],[Room Booked]]*Table2[[#This Row],[Price]]</f>
        <v>2074336</v>
      </c>
      <c r="R61" s="6">
        <v>4382.3999999999996</v>
      </c>
      <c r="S61" t="str" cm="1">
        <f t="array" ref="S61">_xlfn.XLOOKUP(Table2[[#This Row],[Country]],_xlfn.ANCHORARRAY($W$2),$X$2:$X$7)</f>
        <v>IND</v>
      </c>
    </row>
    <row r="62" spans="1:19" x14ac:dyDescent="0.25">
      <c r="A62" s="1">
        <v>2022</v>
      </c>
      <c r="B62" s="1" t="s">
        <v>51</v>
      </c>
      <c r="C62" s="1" t="s">
        <v>59</v>
      </c>
      <c r="D62" s="1" t="s">
        <v>60</v>
      </c>
      <c r="E62" s="1" t="s">
        <v>61</v>
      </c>
      <c r="F62" s="1" t="s">
        <v>48</v>
      </c>
      <c r="G62" s="1">
        <v>27</v>
      </c>
      <c r="H62" s="1" t="s">
        <v>33</v>
      </c>
      <c r="I62" s="1" t="s">
        <v>41</v>
      </c>
      <c r="J62" s="2">
        <v>44824</v>
      </c>
      <c r="K62" s="1" t="s">
        <v>68</v>
      </c>
      <c r="L62" s="1" t="s">
        <v>43</v>
      </c>
      <c r="M62" s="1">
        <v>13</v>
      </c>
      <c r="N62" s="1">
        <v>107</v>
      </c>
      <c r="O62" s="6">
        <v>119616</v>
      </c>
      <c r="P62" s="1" t="s">
        <v>50</v>
      </c>
      <c r="Q62" s="6">
        <f>Table2[[#This Row],[Room Booked]]*Table2[[#This Row],[Price]]</f>
        <v>1555008</v>
      </c>
      <c r="R62" s="6">
        <v>11587.8</v>
      </c>
      <c r="S62" t="str" cm="1">
        <f t="array" ref="S62">_xlfn.XLOOKUP(Table2[[#This Row],[Country]],_xlfn.ANCHORARRAY($W$2),$X$2:$X$7)</f>
        <v>USA</v>
      </c>
    </row>
    <row r="63" spans="1:19" x14ac:dyDescent="0.25">
      <c r="A63" s="1">
        <v>2022</v>
      </c>
      <c r="B63" s="1" t="s">
        <v>36</v>
      </c>
      <c r="C63" s="1" t="s">
        <v>37</v>
      </c>
      <c r="D63" s="1" t="s">
        <v>38</v>
      </c>
      <c r="E63" s="1" t="s">
        <v>39</v>
      </c>
      <c r="F63" s="1" t="s">
        <v>52</v>
      </c>
      <c r="G63" s="1">
        <v>69</v>
      </c>
      <c r="H63" s="1" t="s">
        <v>33</v>
      </c>
      <c r="I63" s="1" t="s">
        <v>41</v>
      </c>
      <c r="J63" s="2">
        <v>44718</v>
      </c>
      <c r="K63" s="1" t="s">
        <v>80</v>
      </c>
      <c r="L63" s="1" t="s">
        <v>34</v>
      </c>
      <c r="M63" s="1">
        <v>28</v>
      </c>
      <c r="N63" s="1">
        <v>79</v>
      </c>
      <c r="O63" s="6">
        <v>31040</v>
      </c>
      <c r="P63" s="1" t="s">
        <v>27</v>
      </c>
      <c r="Q63" s="6">
        <f>Table2[[#This Row],[Room Booked]]*Table2[[#This Row],[Price]]</f>
        <v>869120</v>
      </c>
      <c r="R63" s="6">
        <v>6693</v>
      </c>
      <c r="S63" t="str" cm="1">
        <f t="array" ref="S63">_xlfn.XLOOKUP(Table2[[#This Row],[Country]],_xlfn.ANCHORARRAY($W$2),$X$2:$X$7)</f>
        <v>IND</v>
      </c>
    </row>
    <row r="64" spans="1:19" x14ac:dyDescent="0.25">
      <c r="A64" s="1">
        <v>2022</v>
      </c>
      <c r="B64" s="1" t="s">
        <v>28</v>
      </c>
      <c r="C64" s="1" t="s">
        <v>87</v>
      </c>
      <c r="D64" s="1" t="s">
        <v>71</v>
      </c>
      <c r="E64" s="1" t="s">
        <v>72</v>
      </c>
      <c r="F64" s="1" t="s">
        <v>54</v>
      </c>
      <c r="G64" s="1">
        <v>29</v>
      </c>
      <c r="H64" s="1" t="s">
        <v>33</v>
      </c>
      <c r="I64" s="1" t="s">
        <v>41</v>
      </c>
      <c r="J64" s="2">
        <v>44674</v>
      </c>
      <c r="K64" s="1" t="s">
        <v>42</v>
      </c>
      <c r="L64" s="1" t="s">
        <v>43</v>
      </c>
      <c r="M64" s="1">
        <v>24</v>
      </c>
      <c r="N64" s="1">
        <v>116</v>
      </c>
      <c r="O64" s="6">
        <v>29832</v>
      </c>
      <c r="P64" s="1" t="s">
        <v>27</v>
      </c>
      <c r="Q64" s="6">
        <f>Table2[[#This Row],[Room Booked]]*Table2[[#This Row],[Price]]</f>
        <v>715968</v>
      </c>
      <c r="R64" s="6">
        <v>64884.6</v>
      </c>
      <c r="S64" t="str" cm="1">
        <f t="array" ref="S64">_xlfn.XLOOKUP(Table2[[#This Row],[Country]],_xlfn.ANCHORARRAY($W$2),$X$2:$X$7)</f>
        <v>UAE</v>
      </c>
    </row>
    <row r="65" spans="1:19" x14ac:dyDescent="0.25">
      <c r="A65" s="1">
        <v>2023</v>
      </c>
      <c r="B65" s="1" t="s">
        <v>55</v>
      </c>
      <c r="C65" s="1" t="s">
        <v>37</v>
      </c>
      <c r="D65" s="1" t="s">
        <v>38</v>
      </c>
      <c r="E65" s="1" t="s">
        <v>39</v>
      </c>
      <c r="F65" s="1" t="s">
        <v>56</v>
      </c>
      <c r="G65" s="1">
        <v>43</v>
      </c>
      <c r="H65" s="1" t="s">
        <v>23</v>
      </c>
      <c r="I65" s="1" t="s">
        <v>24</v>
      </c>
      <c r="J65" s="2">
        <v>45145</v>
      </c>
      <c r="K65" s="1" t="s">
        <v>65</v>
      </c>
      <c r="L65" s="1" t="s">
        <v>43</v>
      </c>
      <c r="M65" s="1">
        <v>27</v>
      </c>
      <c r="N65" s="1">
        <v>93</v>
      </c>
      <c r="O65" s="6">
        <v>7325</v>
      </c>
      <c r="P65" s="1" t="s">
        <v>50</v>
      </c>
      <c r="Q65" s="6">
        <f>Table2[[#This Row],[Room Booked]]*Table2[[#This Row],[Price]]</f>
        <v>197775</v>
      </c>
      <c r="R65" s="6">
        <v>145035</v>
      </c>
      <c r="S65" t="str" cm="1">
        <f t="array" ref="S65">_xlfn.XLOOKUP(Table2[[#This Row],[Country]],_xlfn.ANCHORARRAY($W$2),$X$2:$X$7)</f>
        <v>IND</v>
      </c>
    </row>
    <row r="66" spans="1:19" x14ac:dyDescent="0.25">
      <c r="A66" s="1">
        <v>2022</v>
      </c>
      <c r="B66" s="1" t="s">
        <v>28</v>
      </c>
      <c r="C66" s="1" t="s">
        <v>87</v>
      </c>
      <c r="D66" s="1" t="s">
        <v>20</v>
      </c>
      <c r="E66" s="1" t="s">
        <v>21</v>
      </c>
      <c r="F66" s="1" t="s">
        <v>58</v>
      </c>
      <c r="G66" s="1">
        <v>40</v>
      </c>
      <c r="H66" s="1" t="s">
        <v>33</v>
      </c>
      <c r="I66" s="1" t="s">
        <v>24</v>
      </c>
      <c r="J66" s="2">
        <v>44667</v>
      </c>
      <c r="K66" s="1" t="s">
        <v>49</v>
      </c>
      <c r="L66" s="1" t="s">
        <v>26</v>
      </c>
      <c r="M66" s="1">
        <v>29</v>
      </c>
      <c r="N66" s="1">
        <v>97</v>
      </c>
      <c r="O66" s="6">
        <v>116568</v>
      </c>
      <c r="P66" s="1" t="s">
        <v>27</v>
      </c>
      <c r="Q66" s="6">
        <f>Table2[[#This Row],[Room Booked]]*Table2[[#This Row],[Price]]</f>
        <v>3380472</v>
      </c>
      <c r="R66" s="6">
        <v>104911.2</v>
      </c>
      <c r="S66" t="str" cm="1">
        <f t="array" ref="S66">_xlfn.XLOOKUP(Table2[[#This Row],[Country]],_xlfn.ANCHORARRAY($W$2),$X$2:$X$7)</f>
        <v>AUS</v>
      </c>
    </row>
    <row r="67" spans="1:19" x14ac:dyDescent="0.25">
      <c r="A67" s="1">
        <v>2023</v>
      </c>
      <c r="B67" s="1" t="s">
        <v>55</v>
      </c>
      <c r="C67" s="1" t="s">
        <v>91</v>
      </c>
      <c r="D67" s="1" t="s">
        <v>20</v>
      </c>
      <c r="E67" s="1" t="s">
        <v>21</v>
      </c>
      <c r="F67" s="1" t="s">
        <v>62</v>
      </c>
      <c r="G67" s="1">
        <v>33</v>
      </c>
      <c r="H67" s="1" t="s">
        <v>33</v>
      </c>
      <c r="I67" s="1" t="s">
        <v>41</v>
      </c>
      <c r="J67" s="2">
        <v>45150</v>
      </c>
      <c r="K67" s="1" t="s">
        <v>49</v>
      </c>
      <c r="L67" s="1" t="s">
        <v>26</v>
      </c>
      <c r="M67" s="1">
        <v>22</v>
      </c>
      <c r="N67" s="1">
        <v>80</v>
      </c>
      <c r="O67" s="6">
        <v>53736</v>
      </c>
      <c r="P67" s="1" t="s">
        <v>50</v>
      </c>
      <c r="Q67" s="6">
        <f>Table2[[#This Row],[Room Booked]]*Table2[[#This Row],[Price]]</f>
        <v>1182192</v>
      </c>
      <c r="R67" s="6">
        <v>36943.5</v>
      </c>
      <c r="S67" t="str" cm="1">
        <f t="array" ref="S67">_xlfn.XLOOKUP(Table2[[#This Row],[Country]],_xlfn.ANCHORARRAY($W$2),$X$2:$X$7)</f>
        <v>AUS</v>
      </c>
    </row>
    <row r="68" spans="1:19" x14ac:dyDescent="0.25">
      <c r="A68" s="1">
        <v>2023</v>
      </c>
      <c r="B68" s="1" t="s">
        <v>57</v>
      </c>
      <c r="C68" s="1" t="s">
        <v>19</v>
      </c>
      <c r="D68" s="1" t="s">
        <v>20</v>
      </c>
      <c r="E68" s="1" t="s">
        <v>21</v>
      </c>
      <c r="F68" s="1" t="s">
        <v>64</v>
      </c>
      <c r="G68" s="1">
        <v>31</v>
      </c>
      <c r="H68" s="1" t="s">
        <v>33</v>
      </c>
      <c r="I68" s="1" t="s">
        <v>24</v>
      </c>
      <c r="J68" s="2">
        <v>45070</v>
      </c>
      <c r="K68" s="1" t="s">
        <v>68</v>
      </c>
      <c r="L68" s="1" t="s">
        <v>43</v>
      </c>
      <c r="M68" s="1">
        <v>10</v>
      </c>
      <c r="N68" s="1">
        <v>117</v>
      </c>
      <c r="O68" s="6">
        <v>219168</v>
      </c>
      <c r="P68" s="1" t="s">
        <v>63</v>
      </c>
      <c r="Q68" s="6">
        <f>Table2[[#This Row],[Room Booked]]*Table2[[#This Row],[Price]]</f>
        <v>2191680</v>
      </c>
      <c r="R68" s="6">
        <v>17122.5</v>
      </c>
      <c r="S68" t="str" cm="1">
        <f t="array" ref="S68">_xlfn.XLOOKUP(Table2[[#This Row],[Country]],_xlfn.ANCHORARRAY($W$2),$X$2:$X$7)</f>
        <v>AUS</v>
      </c>
    </row>
    <row r="69" spans="1:19" x14ac:dyDescent="0.25">
      <c r="A69" s="1">
        <v>2022</v>
      </c>
      <c r="B69" s="1" t="s">
        <v>57</v>
      </c>
      <c r="C69" s="1" t="s">
        <v>87</v>
      </c>
      <c r="D69" s="1" t="s">
        <v>71</v>
      </c>
      <c r="E69" s="1" t="s">
        <v>72</v>
      </c>
      <c r="F69" s="1" t="s">
        <v>66</v>
      </c>
      <c r="G69" s="1">
        <v>61</v>
      </c>
      <c r="H69" s="1" t="s">
        <v>33</v>
      </c>
      <c r="I69" s="1" t="s">
        <v>41</v>
      </c>
      <c r="J69" s="2">
        <v>44712</v>
      </c>
      <c r="K69" s="1" t="s">
        <v>65</v>
      </c>
      <c r="L69" s="1" t="s">
        <v>34</v>
      </c>
      <c r="M69" s="1">
        <v>28</v>
      </c>
      <c r="N69" s="1">
        <v>86</v>
      </c>
      <c r="O69" s="6">
        <v>2690</v>
      </c>
      <c r="P69" s="1" t="s">
        <v>63</v>
      </c>
      <c r="Q69" s="6">
        <f>Table2[[#This Row],[Room Booked]]*Table2[[#This Row],[Price]]</f>
        <v>75320</v>
      </c>
      <c r="R69" s="6">
        <v>54876</v>
      </c>
      <c r="S69" t="str" cm="1">
        <f t="array" ref="S69">_xlfn.XLOOKUP(Table2[[#This Row],[Country]],_xlfn.ANCHORARRAY($W$2),$X$2:$X$7)</f>
        <v>UAE</v>
      </c>
    </row>
    <row r="70" spans="1:19" x14ac:dyDescent="0.25">
      <c r="A70" s="1">
        <v>2022</v>
      </c>
      <c r="B70" s="1" t="s">
        <v>69</v>
      </c>
      <c r="C70" s="1" t="s">
        <v>87</v>
      </c>
      <c r="D70" s="1" t="s">
        <v>71</v>
      </c>
      <c r="E70" s="1" t="s">
        <v>72</v>
      </c>
      <c r="F70" s="1" t="s">
        <v>67</v>
      </c>
      <c r="G70" s="1">
        <v>32</v>
      </c>
      <c r="H70" s="1" t="s">
        <v>33</v>
      </c>
      <c r="I70" s="1" t="s">
        <v>24</v>
      </c>
      <c r="J70" s="2">
        <v>44869</v>
      </c>
      <c r="K70" s="1" t="s">
        <v>65</v>
      </c>
      <c r="L70" s="1" t="s">
        <v>34</v>
      </c>
      <c r="M70" s="1">
        <v>1</v>
      </c>
      <c r="N70" s="1">
        <v>96</v>
      </c>
      <c r="O70" s="6">
        <v>2458</v>
      </c>
      <c r="P70" s="1" t="s">
        <v>27</v>
      </c>
      <c r="Q70" s="6">
        <f>Table2[[#This Row],[Room Booked]]*Table2[[#This Row],[Price]]</f>
        <v>2458</v>
      </c>
      <c r="R70" s="6">
        <v>1474.8</v>
      </c>
      <c r="S70" t="str" cm="1">
        <f t="array" ref="S70">_xlfn.XLOOKUP(Table2[[#This Row],[Country]],_xlfn.ANCHORARRAY($W$2),$X$2:$X$7)</f>
        <v>UAE</v>
      </c>
    </row>
    <row r="71" spans="1:19" x14ac:dyDescent="0.25">
      <c r="A71" s="1">
        <v>2023</v>
      </c>
      <c r="B71" s="1" t="s">
        <v>53</v>
      </c>
      <c r="C71" s="1" t="s">
        <v>94</v>
      </c>
      <c r="D71" s="1" t="s">
        <v>20</v>
      </c>
      <c r="E71" s="1" t="s">
        <v>21</v>
      </c>
      <c r="F71" s="1" t="s">
        <v>73</v>
      </c>
      <c r="G71" s="1">
        <v>72</v>
      </c>
      <c r="H71" s="1" t="s">
        <v>23</v>
      </c>
      <c r="I71" s="1" t="s">
        <v>24</v>
      </c>
      <c r="J71" s="2">
        <v>44999</v>
      </c>
      <c r="K71" s="1" t="s">
        <v>46</v>
      </c>
      <c r="L71" s="1" t="s">
        <v>34</v>
      </c>
      <c r="M71" s="1">
        <v>4</v>
      </c>
      <c r="N71" s="1">
        <v>89</v>
      </c>
      <c r="O71" s="6">
        <v>2398</v>
      </c>
      <c r="P71" s="1" t="s">
        <v>35</v>
      </c>
      <c r="Q71" s="6">
        <f>Table2[[#This Row],[Room Booked]]*Table2[[#This Row],[Price]]</f>
        <v>9592</v>
      </c>
      <c r="R71" s="6">
        <v>5755.2</v>
      </c>
      <c r="S71" t="str" cm="1">
        <f t="array" ref="S71">_xlfn.XLOOKUP(Table2[[#This Row],[Country]],_xlfn.ANCHORARRAY($W$2),$X$2:$X$7)</f>
        <v>AUS</v>
      </c>
    </row>
    <row r="72" spans="1:19" x14ac:dyDescent="0.25">
      <c r="A72" s="1">
        <v>2022</v>
      </c>
      <c r="B72" s="1" t="s">
        <v>36</v>
      </c>
      <c r="C72" s="1" t="s">
        <v>37</v>
      </c>
      <c r="D72" s="1" t="s">
        <v>38</v>
      </c>
      <c r="E72" s="1" t="s">
        <v>96</v>
      </c>
      <c r="F72" s="1" t="s">
        <v>74</v>
      </c>
      <c r="G72" s="1">
        <v>21</v>
      </c>
      <c r="H72" s="1" t="s">
        <v>23</v>
      </c>
      <c r="I72" s="1" t="s">
        <v>41</v>
      </c>
      <c r="J72" s="2">
        <v>44721</v>
      </c>
      <c r="K72" s="1" t="s">
        <v>42</v>
      </c>
      <c r="L72" s="1" t="s">
        <v>43</v>
      </c>
      <c r="M72" s="1">
        <v>20</v>
      </c>
      <c r="N72" s="1">
        <v>123</v>
      </c>
      <c r="O72" s="6">
        <v>26016</v>
      </c>
      <c r="P72" s="1" t="s">
        <v>27</v>
      </c>
      <c r="Q72" s="6">
        <f>Table2[[#This Row],[Room Booked]]*Table2[[#This Row],[Price]]</f>
        <v>520320</v>
      </c>
      <c r="R72" s="6">
        <v>26341.200000000001</v>
      </c>
      <c r="S72" t="str" cm="1">
        <f t="array" ref="S72">_xlfn.XLOOKUP(Table2[[#This Row],[Country]],_xlfn.ANCHORARRAY($W$2),$X$2:$X$7)</f>
        <v>IND</v>
      </c>
    </row>
    <row r="73" spans="1:19" x14ac:dyDescent="0.25">
      <c r="A73" s="1">
        <v>2023</v>
      </c>
      <c r="B73" s="1" t="s">
        <v>51</v>
      </c>
      <c r="C73" s="1" t="s">
        <v>37</v>
      </c>
      <c r="D73" s="1" t="s">
        <v>38</v>
      </c>
      <c r="E73" s="1" t="s">
        <v>96</v>
      </c>
      <c r="F73" s="1" t="s">
        <v>75</v>
      </c>
      <c r="G73" s="1">
        <v>22</v>
      </c>
      <c r="H73" s="1" t="s">
        <v>33</v>
      </c>
      <c r="I73" s="1" t="s">
        <v>24</v>
      </c>
      <c r="J73" s="2">
        <v>45184</v>
      </c>
      <c r="K73" s="1" t="s">
        <v>25</v>
      </c>
      <c r="L73" s="1" t="s">
        <v>26</v>
      </c>
      <c r="M73" s="1">
        <v>22</v>
      </c>
      <c r="N73" s="1">
        <v>123</v>
      </c>
      <c r="O73" s="6">
        <v>7380</v>
      </c>
      <c r="P73" s="1" t="s">
        <v>27</v>
      </c>
      <c r="Q73" s="6">
        <f>Table2[[#This Row],[Room Booked]]*Table2[[#This Row],[Price]]</f>
        <v>162360</v>
      </c>
      <c r="R73" s="6">
        <v>121770</v>
      </c>
      <c r="S73" t="str" cm="1">
        <f t="array" ref="S73">_xlfn.XLOOKUP(Table2[[#This Row],[Country]],_xlfn.ANCHORARRAY($W$2),$X$2:$X$7)</f>
        <v>IND</v>
      </c>
    </row>
    <row r="74" spans="1:19" x14ac:dyDescent="0.25">
      <c r="A74" s="1">
        <v>2023</v>
      </c>
      <c r="B74" s="1" t="s">
        <v>57</v>
      </c>
      <c r="C74" s="1" t="s">
        <v>37</v>
      </c>
      <c r="D74" s="1" t="s">
        <v>38</v>
      </c>
      <c r="E74" s="1" t="s">
        <v>96</v>
      </c>
      <c r="F74" s="1" t="s">
        <v>77</v>
      </c>
      <c r="G74" s="1">
        <v>56</v>
      </c>
      <c r="H74" s="1" t="s">
        <v>23</v>
      </c>
      <c r="I74" s="1" t="s">
        <v>24</v>
      </c>
      <c r="J74" s="2">
        <v>45062</v>
      </c>
      <c r="K74" s="1" t="s">
        <v>42</v>
      </c>
      <c r="L74" s="1" t="s">
        <v>26</v>
      </c>
      <c r="M74" s="1">
        <v>25</v>
      </c>
      <c r="N74" s="1">
        <v>109</v>
      </c>
      <c r="O74" s="6">
        <v>42008</v>
      </c>
      <c r="P74" s="1" t="s">
        <v>35</v>
      </c>
      <c r="Q74" s="6">
        <f>Table2[[#This Row],[Room Booked]]*Table2[[#This Row],[Price]]</f>
        <v>1050200</v>
      </c>
      <c r="R74" s="6">
        <v>97668.599999999991</v>
      </c>
      <c r="S74" t="str" cm="1">
        <f t="array" ref="S74">_xlfn.XLOOKUP(Table2[[#This Row],[Country]],_xlfn.ANCHORARRAY($W$2),$X$2:$X$7)</f>
        <v>IND</v>
      </c>
    </row>
    <row r="75" spans="1:19" x14ac:dyDescent="0.25">
      <c r="A75" s="1">
        <v>2023</v>
      </c>
      <c r="B75" s="1" t="s">
        <v>47</v>
      </c>
      <c r="C75" s="1" t="s">
        <v>37</v>
      </c>
      <c r="D75" s="1" t="s">
        <v>38</v>
      </c>
      <c r="E75" s="1" t="s">
        <v>96</v>
      </c>
      <c r="F75" s="1" t="s">
        <v>78</v>
      </c>
      <c r="G75" s="1">
        <v>56</v>
      </c>
      <c r="H75" s="1" t="s">
        <v>23</v>
      </c>
      <c r="I75" s="1" t="s">
        <v>24</v>
      </c>
      <c r="J75" s="2">
        <v>45262</v>
      </c>
      <c r="K75" s="1" t="s">
        <v>46</v>
      </c>
      <c r="L75" s="1" t="s">
        <v>43</v>
      </c>
      <c r="M75" s="1">
        <v>38</v>
      </c>
      <c r="N75" s="1">
        <v>113</v>
      </c>
      <c r="O75" s="6">
        <v>5517</v>
      </c>
      <c r="P75" s="1" t="s">
        <v>63</v>
      </c>
      <c r="Q75" s="6">
        <f>Table2[[#This Row],[Room Booked]]*Table2[[#This Row],[Price]]</f>
        <v>209646</v>
      </c>
      <c r="R75" s="6">
        <v>122477.4</v>
      </c>
      <c r="S75" t="str" cm="1">
        <f t="array" ref="S75">_xlfn.XLOOKUP(Table2[[#This Row],[Country]],_xlfn.ANCHORARRAY($W$2),$X$2:$X$7)</f>
        <v>IND</v>
      </c>
    </row>
    <row r="76" spans="1:19" x14ac:dyDescent="0.25">
      <c r="A76" s="1">
        <v>2023</v>
      </c>
      <c r="B76" s="1" t="s">
        <v>69</v>
      </c>
      <c r="C76" s="1" t="s">
        <v>37</v>
      </c>
      <c r="D76" s="1" t="s">
        <v>38</v>
      </c>
      <c r="E76" s="1" t="s">
        <v>96</v>
      </c>
      <c r="F76" s="1" t="s">
        <v>79</v>
      </c>
      <c r="G76" s="1">
        <v>52</v>
      </c>
      <c r="H76" s="1" t="s">
        <v>33</v>
      </c>
      <c r="I76" s="1" t="s">
        <v>24</v>
      </c>
      <c r="J76" s="2">
        <v>45249</v>
      </c>
      <c r="K76" s="1" t="s">
        <v>46</v>
      </c>
      <c r="L76" s="1" t="s">
        <v>26</v>
      </c>
      <c r="M76" s="1">
        <v>24</v>
      </c>
      <c r="N76" s="1">
        <v>121</v>
      </c>
      <c r="O76" s="6">
        <v>8790</v>
      </c>
      <c r="P76" s="1" t="s">
        <v>35</v>
      </c>
      <c r="Q76" s="6">
        <f>Table2[[#This Row],[Room Booked]]*Table2[[#This Row],[Price]]</f>
        <v>210960</v>
      </c>
      <c r="R76" s="6">
        <v>152946</v>
      </c>
      <c r="S76" t="str" cm="1">
        <f t="array" ref="S76">_xlfn.XLOOKUP(Table2[[#This Row],[Country]],_xlfn.ANCHORARRAY($W$2),$X$2:$X$7)</f>
        <v>IND</v>
      </c>
    </row>
    <row r="77" spans="1:19" x14ac:dyDescent="0.25">
      <c r="A77" s="1">
        <v>2023</v>
      </c>
      <c r="B77" s="1" t="s">
        <v>69</v>
      </c>
      <c r="C77" s="1" t="s">
        <v>37</v>
      </c>
      <c r="D77" s="1" t="s">
        <v>38</v>
      </c>
      <c r="E77" s="1" t="s">
        <v>96</v>
      </c>
      <c r="F77" s="1" t="s">
        <v>81</v>
      </c>
      <c r="G77" s="1">
        <v>64</v>
      </c>
      <c r="H77" s="1" t="s">
        <v>23</v>
      </c>
      <c r="I77" s="1" t="s">
        <v>24</v>
      </c>
      <c r="J77" s="2">
        <v>45243</v>
      </c>
      <c r="K77" s="1" t="s">
        <v>46</v>
      </c>
      <c r="L77" s="1" t="s">
        <v>43</v>
      </c>
      <c r="M77" s="1">
        <v>27</v>
      </c>
      <c r="N77" s="1">
        <v>118</v>
      </c>
      <c r="O77" s="6">
        <v>6681</v>
      </c>
      <c r="P77" s="1" t="s">
        <v>50</v>
      </c>
      <c r="Q77" s="6">
        <f>Table2[[#This Row],[Room Booked]]*Table2[[#This Row],[Price]]</f>
        <v>180387</v>
      </c>
      <c r="R77" s="6">
        <v>132283.79999999999</v>
      </c>
      <c r="S77" t="str" cm="1">
        <f t="array" ref="S77">_xlfn.XLOOKUP(Table2[[#This Row],[Country]],_xlfn.ANCHORARRAY($W$2),$X$2:$X$7)</f>
        <v>IND</v>
      </c>
    </row>
    <row r="78" spans="1:19" x14ac:dyDescent="0.25">
      <c r="A78" s="1">
        <v>2023</v>
      </c>
      <c r="B78" s="1" t="s">
        <v>47</v>
      </c>
      <c r="C78" s="1" t="s">
        <v>37</v>
      </c>
      <c r="D78" s="1" t="s">
        <v>38</v>
      </c>
      <c r="E78" s="1" t="s">
        <v>96</v>
      </c>
      <c r="F78" s="1" t="s">
        <v>82</v>
      </c>
      <c r="G78" s="1">
        <v>22</v>
      </c>
      <c r="H78" s="1" t="s">
        <v>23</v>
      </c>
      <c r="I78" s="1" t="s">
        <v>24</v>
      </c>
      <c r="J78" s="2">
        <v>45291</v>
      </c>
      <c r="K78" s="1" t="s">
        <v>42</v>
      </c>
      <c r="L78" s="1" t="s">
        <v>43</v>
      </c>
      <c r="M78" s="1">
        <v>16</v>
      </c>
      <c r="N78" s="1">
        <v>104</v>
      </c>
      <c r="O78" s="6">
        <v>33680</v>
      </c>
      <c r="P78" s="1" t="s">
        <v>35</v>
      </c>
      <c r="Q78" s="6">
        <f>Table2[[#This Row],[Room Booked]]*Table2[[#This Row],[Price]]</f>
        <v>538880</v>
      </c>
      <c r="R78" s="6">
        <v>71991</v>
      </c>
      <c r="S78" t="str" cm="1">
        <f t="array" ref="S78">_xlfn.XLOOKUP(Table2[[#This Row],[Country]],_xlfn.ANCHORARRAY($W$2),$X$2:$X$7)</f>
        <v>IND</v>
      </c>
    </row>
    <row r="79" spans="1:19" x14ac:dyDescent="0.25">
      <c r="A79" s="1">
        <v>2022</v>
      </c>
      <c r="B79" s="1" t="s">
        <v>18</v>
      </c>
      <c r="C79" s="1" t="s">
        <v>37</v>
      </c>
      <c r="D79" s="1" t="s">
        <v>38</v>
      </c>
      <c r="E79" s="1" t="s">
        <v>96</v>
      </c>
      <c r="F79" s="1" t="s">
        <v>83</v>
      </c>
      <c r="G79" s="1">
        <v>49</v>
      </c>
      <c r="H79" s="1" t="s">
        <v>33</v>
      </c>
      <c r="I79" s="1" t="s">
        <v>24</v>
      </c>
      <c r="J79" s="2">
        <v>44584</v>
      </c>
      <c r="K79" s="1" t="s">
        <v>80</v>
      </c>
      <c r="L79" s="1" t="s">
        <v>43</v>
      </c>
      <c r="M79" s="1">
        <v>37</v>
      </c>
      <c r="N79" s="1">
        <v>110</v>
      </c>
      <c r="O79" s="6">
        <v>161408</v>
      </c>
      <c r="P79" s="1" t="s">
        <v>27</v>
      </c>
      <c r="Q79" s="6">
        <f>Table2[[#This Row],[Room Booked]]*Table2[[#This Row],[Price]]</f>
        <v>5972096</v>
      </c>
      <c r="R79" s="6">
        <v>43882.799999999996</v>
      </c>
      <c r="S79" t="str" cm="1">
        <f t="array" ref="S79">_xlfn.XLOOKUP(Table2[[#This Row],[Country]],_xlfn.ANCHORARRAY($W$2),$X$2:$X$7)</f>
        <v>IND</v>
      </c>
    </row>
    <row r="80" spans="1:19" x14ac:dyDescent="0.25">
      <c r="A80" s="1">
        <v>2023</v>
      </c>
      <c r="B80" s="1" t="s">
        <v>53</v>
      </c>
      <c r="C80" s="1" t="s">
        <v>37</v>
      </c>
      <c r="D80" s="1" t="s">
        <v>38</v>
      </c>
      <c r="E80" s="1" t="s">
        <v>96</v>
      </c>
      <c r="F80" s="1" t="s">
        <v>84</v>
      </c>
      <c r="G80" s="1">
        <v>46</v>
      </c>
      <c r="H80" s="1" t="s">
        <v>33</v>
      </c>
      <c r="I80" s="1" t="s">
        <v>24</v>
      </c>
      <c r="J80" s="2">
        <v>44989</v>
      </c>
      <c r="K80" s="1" t="s">
        <v>49</v>
      </c>
      <c r="L80" s="1" t="s">
        <v>43</v>
      </c>
      <c r="M80" s="1">
        <v>22</v>
      </c>
      <c r="N80" s="1">
        <v>81</v>
      </c>
      <c r="O80" s="6">
        <v>114744</v>
      </c>
      <c r="P80" s="1" t="s">
        <v>27</v>
      </c>
      <c r="Q80" s="6">
        <f>Table2[[#This Row],[Room Booked]]*Table2[[#This Row],[Price]]</f>
        <v>2524368</v>
      </c>
      <c r="R80" s="6">
        <v>58806.299999999996</v>
      </c>
      <c r="S80" t="str" cm="1">
        <f t="array" ref="S80">_xlfn.XLOOKUP(Table2[[#This Row],[Country]],_xlfn.ANCHORARRAY($W$2),$X$2:$X$7)</f>
        <v>IND</v>
      </c>
    </row>
    <row r="81" spans="1:19" x14ac:dyDescent="0.25">
      <c r="A81" s="1">
        <v>2023</v>
      </c>
      <c r="B81" s="1" t="s">
        <v>51</v>
      </c>
      <c r="C81" s="1" t="s">
        <v>29</v>
      </c>
      <c r="D81" s="1" t="s">
        <v>20</v>
      </c>
      <c r="E81" s="1" t="s">
        <v>97</v>
      </c>
      <c r="F81" s="1" t="s">
        <v>85</v>
      </c>
      <c r="G81" s="1">
        <v>60</v>
      </c>
      <c r="H81" s="1" t="s">
        <v>33</v>
      </c>
      <c r="I81" s="1" t="s">
        <v>24</v>
      </c>
      <c r="J81" s="2">
        <v>45171</v>
      </c>
      <c r="K81" s="1" t="s">
        <v>49</v>
      </c>
      <c r="L81" s="1" t="s">
        <v>34</v>
      </c>
      <c r="M81" s="1">
        <v>43</v>
      </c>
      <c r="N81" s="1">
        <v>104</v>
      </c>
      <c r="O81" s="6">
        <v>93888</v>
      </c>
      <c r="P81" s="1" t="s">
        <v>63</v>
      </c>
      <c r="Q81" s="6">
        <f>Table2[[#This Row],[Room Booked]]*Table2[[#This Row],[Price]]</f>
        <v>4037184</v>
      </c>
      <c r="R81" s="6">
        <v>96235.199999999997</v>
      </c>
      <c r="S81" t="str" cm="1">
        <f t="array" ref="S81">_xlfn.XLOOKUP(Table2[[#This Row],[Country]],_xlfn.ANCHORARRAY($W$2),$X$2:$X$7)</f>
        <v>AUS</v>
      </c>
    </row>
    <row r="82" spans="1:19" x14ac:dyDescent="0.25">
      <c r="A82" s="1">
        <v>2022</v>
      </c>
      <c r="B82" s="1" t="s">
        <v>55</v>
      </c>
      <c r="C82" s="1" t="s">
        <v>94</v>
      </c>
      <c r="D82" s="1" t="s">
        <v>20</v>
      </c>
      <c r="E82" s="1" t="s">
        <v>97</v>
      </c>
      <c r="F82" s="1" t="s">
        <v>86</v>
      </c>
      <c r="G82" s="1">
        <v>56</v>
      </c>
      <c r="H82" s="1" t="s">
        <v>33</v>
      </c>
      <c r="I82" s="1" t="s">
        <v>41</v>
      </c>
      <c r="J82" s="2">
        <v>44786</v>
      </c>
      <c r="K82" s="1" t="s">
        <v>65</v>
      </c>
      <c r="L82" s="1" t="s">
        <v>34</v>
      </c>
      <c r="M82" s="1">
        <v>20</v>
      </c>
      <c r="N82" s="1">
        <v>93</v>
      </c>
      <c r="O82" s="6">
        <v>2344</v>
      </c>
      <c r="P82" s="1" t="s">
        <v>27</v>
      </c>
      <c r="Q82" s="6">
        <f>Table2[[#This Row],[Room Booked]]*Table2[[#This Row],[Price]]</f>
        <v>46880</v>
      </c>
      <c r="R82" s="6">
        <v>44301.599999999999</v>
      </c>
      <c r="S82" t="str" cm="1">
        <f t="array" ref="S82">_xlfn.XLOOKUP(Table2[[#This Row],[Country]],_xlfn.ANCHORARRAY($W$2),$X$2:$X$7)</f>
        <v>AUS</v>
      </c>
    </row>
    <row r="83" spans="1:19" x14ac:dyDescent="0.25">
      <c r="A83" s="1">
        <v>2023</v>
      </c>
      <c r="B83" s="1" t="s">
        <v>55</v>
      </c>
      <c r="C83" s="1" t="s">
        <v>91</v>
      </c>
      <c r="D83" s="1" t="s">
        <v>20</v>
      </c>
      <c r="E83" s="1" t="s">
        <v>97</v>
      </c>
      <c r="F83" s="1" t="s">
        <v>88</v>
      </c>
      <c r="G83" s="1">
        <v>26</v>
      </c>
      <c r="H83" s="1" t="s">
        <v>33</v>
      </c>
      <c r="I83" s="1" t="s">
        <v>41</v>
      </c>
      <c r="J83" s="2">
        <v>45148</v>
      </c>
      <c r="K83" s="1" t="s">
        <v>25</v>
      </c>
      <c r="L83" s="1" t="s">
        <v>26</v>
      </c>
      <c r="M83" s="1">
        <v>28</v>
      </c>
      <c r="N83" s="1">
        <v>119</v>
      </c>
      <c r="O83" s="6">
        <v>7802</v>
      </c>
      <c r="P83" s="1" t="s">
        <v>27</v>
      </c>
      <c r="Q83" s="6">
        <f>Table2[[#This Row],[Room Booked]]*Table2[[#This Row],[Price]]</f>
        <v>218456</v>
      </c>
      <c r="R83" s="6">
        <v>16384.2</v>
      </c>
      <c r="S83" t="str" cm="1">
        <f t="array" ref="S83">_xlfn.XLOOKUP(Table2[[#This Row],[Country]],_xlfn.ANCHORARRAY($W$2),$X$2:$X$7)</f>
        <v>AUS</v>
      </c>
    </row>
    <row r="84" spans="1:19" x14ac:dyDescent="0.25">
      <c r="A84" s="1">
        <v>2023</v>
      </c>
      <c r="B84" s="1" t="s">
        <v>76</v>
      </c>
      <c r="C84" s="1" t="s">
        <v>37</v>
      </c>
      <c r="D84" s="1" t="s">
        <v>20</v>
      </c>
      <c r="E84" s="1" t="s">
        <v>97</v>
      </c>
      <c r="F84" s="1" t="s">
        <v>89</v>
      </c>
      <c r="G84" s="1">
        <v>62</v>
      </c>
      <c r="H84" s="1" t="s">
        <v>23</v>
      </c>
      <c r="I84" s="1" t="s">
        <v>24</v>
      </c>
      <c r="J84" s="2">
        <v>45125</v>
      </c>
      <c r="K84" s="1" t="s">
        <v>42</v>
      </c>
      <c r="L84" s="1" t="s">
        <v>43</v>
      </c>
      <c r="M84" s="1">
        <v>24</v>
      </c>
      <c r="N84" s="1">
        <v>104</v>
      </c>
      <c r="O84" s="6">
        <v>26616</v>
      </c>
      <c r="P84" s="1" t="s">
        <v>27</v>
      </c>
      <c r="Q84" s="6">
        <f>Table2[[#This Row],[Room Booked]]*Table2[[#This Row],[Price]]</f>
        <v>638784</v>
      </c>
      <c r="R84" s="6">
        <v>58887.9</v>
      </c>
      <c r="S84" t="str" cm="1">
        <f t="array" ref="S84">_xlfn.XLOOKUP(Table2[[#This Row],[Country]],_xlfn.ANCHORARRAY($W$2),$X$2:$X$7)</f>
        <v>AUS</v>
      </c>
    </row>
    <row r="85" spans="1:19" x14ac:dyDescent="0.25">
      <c r="A85" s="1">
        <v>2022</v>
      </c>
      <c r="B85" s="1" t="s">
        <v>53</v>
      </c>
      <c r="C85" s="1" t="s">
        <v>37</v>
      </c>
      <c r="D85" s="1" t="s">
        <v>20</v>
      </c>
      <c r="E85" s="1" t="s">
        <v>97</v>
      </c>
      <c r="F85" s="1" t="s">
        <v>90</v>
      </c>
      <c r="G85" s="1">
        <v>40</v>
      </c>
      <c r="H85" s="1" t="s">
        <v>33</v>
      </c>
      <c r="I85" s="1" t="s">
        <v>41</v>
      </c>
      <c r="J85" s="2">
        <v>44629</v>
      </c>
      <c r="K85" s="1" t="s">
        <v>25</v>
      </c>
      <c r="L85" s="1" t="s">
        <v>26</v>
      </c>
      <c r="M85" s="1">
        <v>32</v>
      </c>
      <c r="N85" s="1">
        <v>118</v>
      </c>
      <c r="O85" s="6">
        <v>9387</v>
      </c>
      <c r="P85" s="1" t="s">
        <v>63</v>
      </c>
      <c r="Q85" s="6">
        <f>Table2[[#This Row],[Room Booked]]*Table2[[#This Row],[Price]]</f>
        <v>300384</v>
      </c>
      <c r="R85" s="6">
        <v>67586.399999999994</v>
      </c>
      <c r="S85" t="str" cm="1">
        <f t="array" ref="S85">_xlfn.XLOOKUP(Table2[[#This Row],[Country]],_xlfn.ANCHORARRAY($W$2),$X$2:$X$7)</f>
        <v>AUS</v>
      </c>
    </row>
    <row r="86" spans="1:19" x14ac:dyDescent="0.25">
      <c r="A86" s="1">
        <v>2022</v>
      </c>
      <c r="B86" s="1" t="s">
        <v>47</v>
      </c>
      <c r="C86" s="1" t="s">
        <v>19</v>
      </c>
      <c r="D86" s="1" t="s">
        <v>20</v>
      </c>
      <c r="E86" s="1" t="s">
        <v>97</v>
      </c>
      <c r="F86" s="1" t="s">
        <v>22</v>
      </c>
      <c r="G86" s="1">
        <v>35</v>
      </c>
      <c r="H86" s="1" t="s">
        <v>33</v>
      </c>
      <c r="I86" s="1" t="s">
        <v>24</v>
      </c>
      <c r="J86" s="2">
        <v>44907</v>
      </c>
      <c r="K86" s="1" t="s">
        <v>49</v>
      </c>
      <c r="L86" s="1" t="s">
        <v>34</v>
      </c>
      <c r="M86" s="1">
        <v>26</v>
      </c>
      <c r="N86" s="1">
        <v>119</v>
      </c>
      <c r="O86" s="6">
        <v>116352</v>
      </c>
      <c r="P86" s="1" t="s">
        <v>50</v>
      </c>
      <c r="Q86" s="6">
        <f>Table2[[#This Row],[Room Booked]]*Table2[[#This Row],[Price]]</f>
        <v>3025152</v>
      </c>
      <c r="R86" s="6">
        <v>91627.199999999997</v>
      </c>
      <c r="S86" t="str" cm="1">
        <f t="array" ref="S86">_xlfn.XLOOKUP(Table2[[#This Row],[Country]],_xlfn.ANCHORARRAY($W$2),$X$2:$X$7)</f>
        <v>AUS</v>
      </c>
    </row>
    <row r="87" spans="1:19" x14ac:dyDescent="0.25">
      <c r="A87" s="1">
        <v>2022</v>
      </c>
      <c r="B87" s="1" t="s">
        <v>47</v>
      </c>
      <c r="C87" s="1" t="s">
        <v>87</v>
      </c>
      <c r="D87" s="1" t="s">
        <v>20</v>
      </c>
      <c r="E87" s="1" t="s">
        <v>97</v>
      </c>
      <c r="F87" s="1" t="s">
        <v>32</v>
      </c>
      <c r="G87" s="1">
        <v>63</v>
      </c>
      <c r="H87" s="1" t="s">
        <v>33</v>
      </c>
      <c r="I87" s="1" t="s">
        <v>24</v>
      </c>
      <c r="J87" s="2">
        <v>44926</v>
      </c>
      <c r="K87" s="1" t="s">
        <v>49</v>
      </c>
      <c r="L87" s="1" t="s">
        <v>43</v>
      </c>
      <c r="M87" s="1">
        <v>38</v>
      </c>
      <c r="N87" s="1">
        <v>115</v>
      </c>
      <c r="O87" s="6">
        <v>132480</v>
      </c>
      <c r="P87" s="1" t="s">
        <v>27</v>
      </c>
      <c r="Q87" s="6">
        <f>Table2[[#This Row],[Room Booked]]*Table2[[#This Row],[Price]]</f>
        <v>5034240</v>
      </c>
      <c r="R87" s="6">
        <v>157320</v>
      </c>
      <c r="S87" t="str" cm="1">
        <f t="array" ref="S87">_xlfn.XLOOKUP(Table2[[#This Row],[Country]],_xlfn.ANCHORARRAY($W$2),$X$2:$X$7)</f>
        <v>AUS</v>
      </c>
    </row>
    <row r="88" spans="1:19" x14ac:dyDescent="0.25">
      <c r="A88" s="1">
        <v>2022</v>
      </c>
      <c r="B88" s="1" t="s">
        <v>57</v>
      </c>
      <c r="C88" s="1" t="s">
        <v>70</v>
      </c>
      <c r="D88" s="1" t="s">
        <v>20</v>
      </c>
      <c r="E88" s="1" t="s">
        <v>97</v>
      </c>
      <c r="F88" s="1" t="s">
        <v>40</v>
      </c>
      <c r="G88" s="1">
        <v>37</v>
      </c>
      <c r="H88" s="1" t="s">
        <v>33</v>
      </c>
      <c r="I88" s="1" t="s">
        <v>24</v>
      </c>
      <c r="J88" s="2">
        <v>44701</v>
      </c>
      <c r="K88" s="1" t="s">
        <v>80</v>
      </c>
      <c r="L88" s="1" t="s">
        <v>34</v>
      </c>
      <c r="M88" s="1">
        <v>38</v>
      </c>
      <c r="N88" s="1">
        <v>115</v>
      </c>
      <c r="O88" s="6">
        <v>241984</v>
      </c>
      <c r="P88" s="1" t="s">
        <v>27</v>
      </c>
      <c r="Q88" s="6">
        <f>Table2[[#This Row],[Room Booked]]*Table2[[#This Row],[Price]]</f>
        <v>9195392</v>
      </c>
      <c r="R88" s="6">
        <v>215517</v>
      </c>
      <c r="S88" t="str" cm="1">
        <f t="array" ref="S88">_xlfn.XLOOKUP(Table2[[#This Row],[Country]],_xlfn.ANCHORARRAY($W$2),$X$2:$X$7)</f>
        <v>AUS</v>
      </c>
    </row>
    <row r="89" spans="1:19" x14ac:dyDescent="0.25">
      <c r="A89" s="1">
        <v>2022</v>
      </c>
      <c r="B89" s="1" t="s">
        <v>28</v>
      </c>
      <c r="C89" s="1" t="s">
        <v>87</v>
      </c>
      <c r="D89" s="1" t="s">
        <v>20</v>
      </c>
      <c r="E89" s="1" t="s">
        <v>97</v>
      </c>
      <c r="F89" s="1" t="s">
        <v>45</v>
      </c>
      <c r="G89" s="1">
        <v>40</v>
      </c>
      <c r="H89" s="1" t="s">
        <v>33</v>
      </c>
      <c r="I89" s="1" t="s">
        <v>24</v>
      </c>
      <c r="J89" s="2">
        <v>44667</v>
      </c>
      <c r="K89" s="1" t="s">
        <v>49</v>
      </c>
      <c r="L89" s="1" t="s">
        <v>26</v>
      </c>
      <c r="M89" s="1">
        <v>29</v>
      </c>
      <c r="N89" s="1">
        <v>97</v>
      </c>
      <c r="O89" s="6">
        <v>116568</v>
      </c>
      <c r="P89" s="1" t="s">
        <v>27</v>
      </c>
      <c r="Q89" s="6">
        <f>Table2[[#This Row],[Room Booked]]*Table2[[#This Row],[Price]]</f>
        <v>3380472</v>
      </c>
      <c r="R89" s="6">
        <v>104911.2</v>
      </c>
      <c r="S89" t="str" cm="1">
        <f t="array" ref="S89">_xlfn.XLOOKUP(Table2[[#This Row],[Country]],_xlfn.ANCHORARRAY($W$2),$X$2:$X$7)</f>
        <v>AUS</v>
      </c>
    </row>
    <row r="90" spans="1:19" x14ac:dyDescent="0.25">
      <c r="A90" s="1">
        <v>2023</v>
      </c>
      <c r="B90" s="1" t="s">
        <v>55</v>
      </c>
      <c r="C90" s="1" t="s">
        <v>91</v>
      </c>
      <c r="D90" s="1" t="s">
        <v>20</v>
      </c>
      <c r="E90" s="1" t="s">
        <v>97</v>
      </c>
      <c r="F90" s="1" t="s">
        <v>48</v>
      </c>
      <c r="G90" s="1">
        <v>33</v>
      </c>
      <c r="H90" s="1" t="s">
        <v>33</v>
      </c>
      <c r="I90" s="1" t="s">
        <v>41</v>
      </c>
      <c r="J90" s="2">
        <v>45150</v>
      </c>
      <c r="K90" s="1" t="s">
        <v>49</v>
      </c>
      <c r="L90" s="1" t="s">
        <v>26</v>
      </c>
      <c r="M90" s="1">
        <v>22</v>
      </c>
      <c r="N90" s="1">
        <v>80</v>
      </c>
      <c r="O90" s="6">
        <v>53736</v>
      </c>
      <c r="P90" s="1" t="s">
        <v>50</v>
      </c>
      <c r="Q90" s="6">
        <f>Table2[[#This Row],[Room Booked]]*Table2[[#This Row],[Price]]</f>
        <v>1182192</v>
      </c>
      <c r="R90" s="6">
        <v>36943.5</v>
      </c>
      <c r="S90" t="str" cm="1">
        <f t="array" ref="S90">_xlfn.XLOOKUP(Table2[[#This Row],[Country]],_xlfn.ANCHORARRAY($W$2),$X$2:$X$7)</f>
        <v>AUS</v>
      </c>
    </row>
    <row r="91" spans="1:19" x14ac:dyDescent="0.25">
      <c r="A91" s="1">
        <v>2023</v>
      </c>
      <c r="B91" s="1" t="s">
        <v>57</v>
      </c>
      <c r="C91" s="1" t="s">
        <v>19</v>
      </c>
      <c r="D91" s="1" t="s">
        <v>20</v>
      </c>
      <c r="E91" s="1" t="s">
        <v>97</v>
      </c>
      <c r="F91" s="1" t="s">
        <v>52</v>
      </c>
      <c r="G91" s="1">
        <v>31</v>
      </c>
      <c r="H91" s="1" t="s">
        <v>33</v>
      </c>
      <c r="I91" s="1" t="s">
        <v>41</v>
      </c>
      <c r="J91" s="2">
        <v>45070</v>
      </c>
      <c r="K91" s="1" t="s">
        <v>68</v>
      </c>
      <c r="L91" s="1" t="s">
        <v>43</v>
      </c>
      <c r="M91" s="1">
        <v>10</v>
      </c>
      <c r="N91" s="1">
        <v>117</v>
      </c>
      <c r="O91" s="6">
        <v>219168</v>
      </c>
      <c r="P91" s="1" t="s">
        <v>63</v>
      </c>
      <c r="Q91" s="6">
        <f>Table2[[#This Row],[Room Booked]]*Table2[[#This Row],[Price]]</f>
        <v>2191680</v>
      </c>
      <c r="R91" s="6">
        <v>17122.5</v>
      </c>
      <c r="S91" t="str" cm="1">
        <f t="array" ref="S91">_xlfn.XLOOKUP(Table2[[#This Row],[Country]],_xlfn.ANCHORARRAY($W$2),$X$2:$X$7)</f>
        <v>AUS</v>
      </c>
    </row>
    <row r="92" spans="1:19" x14ac:dyDescent="0.25">
      <c r="A92" s="1">
        <v>2023</v>
      </c>
      <c r="B92" s="1" t="s">
        <v>53</v>
      </c>
      <c r="C92" s="1" t="s">
        <v>94</v>
      </c>
      <c r="D92" s="1" t="s">
        <v>20</v>
      </c>
      <c r="E92" s="1" t="s">
        <v>97</v>
      </c>
      <c r="F92" s="1" t="s">
        <v>54</v>
      </c>
      <c r="G92" s="1">
        <v>72</v>
      </c>
      <c r="H92" s="1" t="s">
        <v>23</v>
      </c>
      <c r="I92" s="1" t="s">
        <v>24</v>
      </c>
      <c r="J92" s="2">
        <v>44999</v>
      </c>
      <c r="K92" s="1" t="s">
        <v>46</v>
      </c>
      <c r="L92" s="1" t="s">
        <v>34</v>
      </c>
      <c r="M92" s="1">
        <v>4</v>
      </c>
      <c r="N92" s="1">
        <v>89</v>
      </c>
      <c r="O92" s="6">
        <v>2398</v>
      </c>
      <c r="P92" s="1" t="s">
        <v>35</v>
      </c>
      <c r="Q92" s="6">
        <f>Table2[[#This Row],[Room Booked]]*Table2[[#This Row],[Price]]</f>
        <v>9592</v>
      </c>
      <c r="R92" s="6">
        <v>5755.2</v>
      </c>
      <c r="S92" t="str" cm="1">
        <f t="array" ref="S92">_xlfn.XLOOKUP(Table2[[#This Row],[Country]],_xlfn.ANCHORARRAY($W$2),$X$2:$X$7)</f>
        <v>AUS</v>
      </c>
    </row>
    <row r="93" spans="1:19" x14ac:dyDescent="0.25">
      <c r="A93" s="1">
        <v>2022</v>
      </c>
      <c r="B93" s="1" t="s">
        <v>53</v>
      </c>
      <c r="C93" s="1" t="s">
        <v>19</v>
      </c>
      <c r="D93" s="1" t="s">
        <v>92</v>
      </c>
      <c r="E93" s="1" t="s">
        <v>98</v>
      </c>
      <c r="F93" s="1" t="s">
        <v>56</v>
      </c>
      <c r="G93" s="1">
        <v>64</v>
      </c>
      <c r="H93" s="1" t="s">
        <v>23</v>
      </c>
      <c r="I93" s="1" t="s">
        <v>24</v>
      </c>
      <c r="J93" s="2">
        <v>44646</v>
      </c>
      <c r="K93" s="1" t="s">
        <v>25</v>
      </c>
      <c r="L93" s="1" t="s">
        <v>34</v>
      </c>
      <c r="M93" s="1">
        <v>26</v>
      </c>
      <c r="N93" s="1">
        <v>114</v>
      </c>
      <c r="O93" s="6">
        <v>3976</v>
      </c>
      <c r="P93" s="1" t="s">
        <v>50</v>
      </c>
      <c r="Q93" s="6">
        <f>Table2[[#This Row],[Room Booked]]*Table2[[#This Row],[Price]]</f>
        <v>103376</v>
      </c>
      <c r="R93" s="6">
        <v>75146.399999999994</v>
      </c>
      <c r="S93" t="str" cm="1">
        <f t="array" ref="S93">_xlfn.XLOOKUP(Table2[[#This Row],[Country]],_xlfn.ANCHORARRAY($W$2),$X$2:$X$7)</f>
        <v>ITA</v>
      </c>
    </row>
    <row r="94" spans="1:19" x14ac:dyDescent="0.25">
      <c r="A94" s="1">
        <v>2022</v>
      </c>
      <c r="B94" s="1" t="s">
        <v>55</v>
      </c>
      <c r="C94" s="1" t="s">
        <v>29</v>
      </c>
      <c r="D94" s="1" t="s">
        <v>92</v>
      </c>
      <c r="E94" s="1" t="s">
        <v>98</v>
      </c>
      <c r="F94" s="1" t="s">
        <v>58</v>
      </c>
      <c r="G94" s="1">
        <v>22</v>
      </c>
      <c r="H94" s="1" t="s">
        <v>33</v>
      </c>
      <c r="I94" s="1" t="s">
        <v>41</v>
      </c>
      <c r="J94" s="2">
        <v>44782</v>
      </c>
      <c r="K94" s="1" t="s">
        <v>42</v>
      </c>
      <c r="L94" s="1" t="s">
        <v>26</v>
      </c>
      <c r="M94" s="1">
        <v>38</v>
      </c>
      <c r="N94" s="1">
        <v>105</v>
      </c>
      <c r="O94" s="6">
        <v>35248</v>
      </c>
      <c r="P94" s="1" t="s">
        <v>35</v>
      </c>
      <c r="Q94" s="6">
        <f>Table2[[#This Row],[Room Booked]]*Table2[[#This Row],[Price]]</f>
        <v>1339424</v>
      </c>
      <c r="R94" s="6">
        <v>91204.2</v>
      </c>
      <c r="S94" t="str" cm="1">
        <f t="array" ref="S94">_xlfn.XLOOKUP(Table2[[#This Row],[Country]],_xlfn.ANCHORARRAY($W$2),$X$2:$X$7)</f>
        <v>ITA</v>
      </c>
    </row>
    <row r="95" spans="1:19" x14ac:dyDescent="0.25">
      <c r="A95" s="1">
        <v>2023</v>
      </c>
      <c r="B95" s="1" t="s">
        <v>57</v>
      </c>
      <c r="C95" s="1" t="s">
        <v>37</v>
      </c>
      <c r="D95" s="1" t="s">
        <v>92</v>
      </c>
      <c r="E95" s="1" t="s">
        <v>98</v>
      </c>
      <c r="F95" s="1" t="s">
        <v>62</v>
      </c>
      <c r="G95" s="1">
        <v>49</v>
      </c>
      <c r="H95" s="1" t="s">
        <v>23</v>
      </c>
      <c r="I95" s="1" t="s">
        <v>24</v>
      </c>
      <c r="J95" s="2">
        <v>45062</v>
      </c>
      <c r="K95" s="1" t="s">
        <v>42</v>
      </c>
      <c r="L95" s="1" t="s">
        <v>26</v>
      </c>
      <c r="M95" s="1">
        <v>25</v>
      </c>
      <c r="N95" s="1">
        <v>109</v>
      </c>
      <c r="O95" s="6">
        <v>42008</v>
      </c>
      <c r="P95" s="1" t="s">
        <v>35</v>
      </c>
      <c r="Q95" s="6">
        <f>Table2[[#This Row],[Room Booked]]*Table2[[#This Row],[Price]]</f>
        <v>1050200</v>
      </c>
      <c r="R95" s="6">
        <v>97668.599999999991</v>
      </c>
      <c r="S95" t="str" cm="1">
        <f t="array" ref="S95">_xlfn.XLOOKUP(Table2[[#This Row],[Country]],_xlfn.ANCHORARRAY($W$2),$X$2:$X$7)</f>
        <v>ITA</v>
      </c>
    </row>
    <row r="96" spans="1:19" x14ac:dyDescent="0.25">
      <c r="A96" s="1">
        <v>2022</v>
      </c>
      <c r="B96" s="1" t="s">
        <v>18</v>
      </c>
      <c r="C96" s="1" t="s">
        <v>59</v>
      </c>
      <c r="D96" s="1" t="s">
        <v>92</v>
      </c>
      <c r="E96" s="1" t="s">
        <v>98</v>
      </c>
      <c r="F96" s="1" t="s">
        <v>64</v>
      </c>
      <c r="G96" s="1">
        <v>46</v>
      </c>
      <c r="H96" s="1" t="s">
        <v>23</v>
      </c>
      <c r="I96" s="1" t="s">
        <v>24</v>
      </c>
      <c r="J96" s="2">
        <v>44576</v>
      </c>
      <c r="K96" s="1" t="s">
        <v>49</v>
      </c>
      <c r="L96" s="1" t="s">
        <v>34</v>
      </c>
      <c r="M96" s="1">
        <v>16</v>
      </c>
      <c r="N96" s="1">
        <v>99</v>
      </c>
      <c r="O96" s="6">
        <v>220104</v>
      </c>
      <c r="P96" s="1" t="s">
        <v>63</v>
      </c>
      <c r="Q96" s="6">
        <f>Table2[[#This Row],[Room Booked]]*Table2[[#This Row],[Price]]</f>
        <v>3521664</v>
      </c>
      <c r="R96" s="6">
        <v>104549.4</v>
      </c>
      <c r="S96" t="str" cm="1">
        <f t="array" ref="S96">_xlfn.XLOOKUP(Table2[[#This Row],[Country]],_xlfn.ANCHORARRAY($W$2),$X$2:$X$7)</f>
        <v>ITA</v>
      </c>
    </row>
    <row r="97" spans="1:19" x14ac:dyDescent="0.25">
      <c r="A97" s="1">
        <v>2022</v>
      </c>
      <c r="B97" s="1" t="s">
        <v>44</v>
      </c>
      <c r="C97" s="1" t="s">
        <v>19</v>
      </c>
      <c r="D97" s="1" t="s">
        <v>92</v>
      </c>
      <c r="E97" s="1" t="s">
        <v>98</v>
      </c>
      <c r="F97" s="1" t="s">
        <v>66</v>
      </c>
      <c r="G97" s="1">
        <v>38</v>
      </c>
      <c r="H97" s="1" t="s">
        <v>23</v>
      </c>
      <c r="I97" s="1" t="s">
        <v>24</v>
      </c>
      <c r="J97" s="2">
        <v>44850</v>
      </c>
      <c r="K97" s="1" t="s">
        <v>65</v>
      </c>
      <c r="L97" s="1" t="s">
        <v>34</v>
      </c>
      <c r="M97" s="1">
        <v>38</v>
      </c>
      <c r="N97" s="1">
        <v>115</v>
      </c>
      <c r="O97" s="6">
        <v>9707</v>
      </c>
      <c r="P97" s="1" t="s">
        <v>63</v>
      </c>
      <c r="Q97" s="6">
        <f>Table2[[#This Row],[Room Booked]]*Table2[[#This Row],[Price]]</f>
        <v>368866</v>
      </c>
      <c r="R97" s="6">
        <v>270825.3</v>
      </c>
      <c r="S97" t="str" cm="1">
        <f t="array" ref="S97">_xlfn.XLOOKUP(Table2[[#This Row],[Country]],_xlfn.ANCHORARRAY($W$2),$X$2:$X$7)</f>
        <v>ITA</v>
      </c>
    </row>
    <row r="98" spans="1:19" x14ac:dyDescent="0.25">
      <c r="A98" s="1">
        <v>2023</v>
      </c>
      <c r="B98" s="1" t="s">
        <v>51</v>
      </c>
      <c r="C98" s="1" t="s">
        <v>19</v>
      </c>
      <c r="D98" s="1" t="s">
        <v>92</v>
      </c>
      <c r="E98" s="1" t="s">
        <v>98</v>
      </c>
      <c r="F98" s="1" t="s">
        <v>67</v>
      </c>
      <c r="G98" s="1">
        <v>45</v>
      </c>
      <c r="H98" s="1" t="s">
        <v>23</v>
      </c>
      <c r="I98" s="1" t="s">
        <v>24</v>
      </c>
      <c r="J98" s="2">
        <v>45182</v>
      </c>
      <c r="K98" s="1" t="s">
        <v>25</v>
      </c>
      <c r="L98" s="1" t="s">
        <v>34</v>
      </c>
      <c r="M98" s="1">
        <v>24</v>
      </c>
      <c r="N98" s="1">
        <v>80</v>
      </c>
      <c r="O98" s="6">
        <v>340</v>
      </c>
      <c r="P98" s="1" t="s">
        <v>27</v>
      </c>
      <c r="Q98" s="6">
        <f>Table2[[#This Row],[Room Booked]]*Table2[[#This Row],[Price]]</f>
        <v>8160</v>
      </c>
      <c r="R98" s="6">
        <v>6018</v>
      </c>
      <c r="S98" t="str" cm="1">
        <f t="array" ref="S98">_xlfn.XLOOKUP(Table2[[#This Row],[Country]],_xlfn.ANCHORARRAY($W$2),$X$2:$X$7)</f>
        <v>ITA</v>
      </c>
    </row>
    <row r="99" spans="1:19" x14ac:dyDescent="0.25">
      <c r="A99" s="1">
        <v>2023</v>
      </c>
      <c r="B99" s="1" t="s">
        <v>36</v>
      </c>
      <c r="C99" s="1" t="s">
        <v>29</v>
      </c>
      <c r="D99" s="1" t="s">
        <v>92</v>
      </c>
      <c r="E99" s="1" t="s">
        <v>98</v>
      </c>
      <c r="F99" s="1" t="s">
        <v>73</v>
      </c>
      <c r="G99" s="1">
        <v>35</v>
      </c>
      <c r="H99" s="1" t="s">
        <v>33</v>
      </c>
      <c r="I99" s="1" t="s">
        <v>41</v>
      </c>
      <c r="J99" s="2">
        <v>45095</v>
      </c>
      <c r="K99" s="1" t="s">
        <v>68</v>
      </c>
      <c r="L99" s="1" t="s">
        <v>26</v>
      </c>
      <c r="M99" s="1">
        <v>27</v>
      </c>
      <c r="N99" s="1">
        <v>109</v>
      </c>
      <c r="O99" s="6">
        <v>76704</v>
      </c>
      <c r="P99" s="1" t="s">
        <v>50</v>
      </c>
      <c r="Q99" s="6">
        <f>Table2[[#This Row],[Room Booked]]*Table2[[#This Row],[Price]]</f>
        <v>2071008</v>
      </c>
      <c r="R99" s="6">
        <v>86702.7</v>
      </c>
      <c r="S99" t="str" cm="1">
        <f t="array" ref="S99">_xlfn.XLOOKUP(Table2[[#This Row],[Country]],_xlfn.ANCHORARRAY($W$2),$X$2:$X$7)</f>
        <v>ITA</v>
      </c>
    </row>
    <row r="100" spans="1:19" x14ac:dyDescent="0.25">
      <c r="A100" s="1">
        <v>2022</v>
      </c>
      <c r="B100" s="1" t="s">
        <v>69</v>
      </c>
      <c r="C100" s="1" t="s">
        <v>70</v>
      </c>
      <c r="D100" s="1" t="s">
        <v>92</v>
      </c>
      <c r="E100" s="1" t="s">
        <v>98</v>
      </c>
      <c r="F100" s="1" t="s">
        <v>74</v>
      </c>
      <c r="G100" s="1">
        <v>56</v>
      </c>
      <c r="H100" s="1" t="s">
        <v>23</v>
      </c>
      <c r="I100" s="1" t="s">
        <v>41</v>
      </c>
      <c r="J100" s="2">
        <v>44892</v>
      </c>
      <c r="K100" s="1" t="s">
        <v>49</v>
      </c>
      <c r="L100" s="1" t="s">
        <v>43</v>
      </c>
      <c r="M100" s="1">
        <v>34</v>
      </c>
      <c r="N100" s="1">
        <v>96</v>
      </c>
      <c r="O100" s="6">
        <v>17304</v>
      </c>
      <c r="P100" s="1" t="s">
        <v>27</v>
      </c>
      <c r="Q100" s="6">
        <f>Table2[[#This Row],[Room Booked]]*Table2[[#This Row],[Price]]</f>
        <v>588336</v>
      </c>
      <c r="R100" s="6">
        <v>17952.899999999998</v>
      </c>
      <c r="S100" t="str" cm="1">
        <f t="array" ref="S100">_xlfn.XLOOKUP(Table2[[#This Row],[Country]],_xlfn.ANCHORARRAY($W$2),$X$2:$X$7)</f>
        <v>ITA</v>
      </c>
    </row>
    <row r="101" spans="1:19" x14ac:dyDescent="0.25">
      <c r="A101" s="1">
        <v>2023</v>
      </c>
      <c r="B101" s="1" t="s">
        <v>44</v>
      </c>
      <c r="C101" s="1" t="s">
        <v>19</v>
      </c>
      <c r="D101" s="1" t="s">
        <v>92</v>
      </c>
      <c r="E101" s="1" t="s">
        <v>98</v>
      </c>
      <c r="F101" s="1" t="s">
        <v>75</v>
      </c>
      <c r="G101" s="1">
        <v>56</v>
      </c>
      <c r="H101" s="1" t="s">
        <v>23</v>
      </c>
      <c r="I101" s="1" t="s">
        <v>24</v>
      </c>
      <c r="J101" s="2">
        <v>45202</v>
      </c>
      <c r="K101" s="1" t="s">
        <v>49</v>
      </c>
      <c r="L101" s="1" t="s">
        <v>26</v>
      </c>
      <c r="M101" s="1">
        <v>14</v>
      </c>
      <c r="N101" s="1">
        <v>105</v>
      </c>
      <c r="O101" s="6">
        <v>155856</v>
      </c>
      <c r="P101" s="1" t="s">
        <v>27</v>
      </c>
      <c r="Q101" s="6">
        <f>Table2[[#This Row],[Room Booked]]*Table2[[#This Row],[Price]]</f>
        <v>2181984</v>
      </c>
      <c r="R101" s="6">
        <v>64290.6</v>
      </c>
      <c r="S101" t="str" cm="1">
        <f t="array" ref="S101">_xlfn.XLOOKUP(Table2[[#This Row],[Country]],_xlfn.ANCHORARRAY($W$2),$X$2:$X$7)</f>
        <v>ITA</v>
      </c>
    </row>
    <row r="102" spans="1:19" x14ac:dyDescent="0.25">
      <c r="A102" s="1">
        <v>2022</v>
      </c>
      <c r="B102" s="1" t="s">
        <v>44</v>
      </c>
      <c r="C102" s="1" t="s">
        <v>19</v>
      </c>
      <c r="D102" s="1" t="s">
        <v>92</v>
      </c>
      <c r="E102" s="1" t="s">
        <v>98</v>
      </c>
      <c r="F102" s="1" t="s">
        <v>77</v>
      </c>
      <c r="G102" s="1">
        <v>55</v>
      </c>
      <c r="H102" s="1" t="s">
        <v>23</v>
      </c>
      <c r="I102" s="1" t="s">
        <v>24</v>
      </c>
      <c r="J102" s="2">
        <v>44860</v>
      </c>
      <c r="K102" s="1" t="s">
        <v>65</v>
      </c>
      <c r="L102" s="1" t="s">
        <v>34</v>
      </c>
      <c r="M102" s="1">
        <v>21</v>
      </c>
      <c r="N102" s="1">
        <v>92</v>
      </c>
      <c r="O102" s="6">
        <v>1945</v>
      </c>
      <c r="P102" s="1" t="s">
        <v>50</v>
      </c>
      <c r="Q102" s="6">
        <f>Table2[[#This Row],[Room Booked]]*Table2[[#This Row],[Price]]</f>
        <v>40845</v>
      </c>
      <c r="R102" s="6">
        <v>19255.5</v>
      </c>
      <c r="S102" t="str" cm="1">
        <f t="array" ref="S102">_xlfn.XLOOKUP(Table2[[#This Row],[Country]],_xlfn.ANCHORARRAY($W$2),$X$2:$X$7)</f>
        <v>ITA</v>
      </c>
    </row>
    <row r="103" spans="1:19" x14ac:dyDescent="0.25">
      <c r="A103" s="1">
        <v>2023</v>
      </c>
      <c r="B103" s="1" t="s">
        <v>76</v>
      </c>
      <c r="C103" s="1" t="s">
        <v>70</v>
      </c>
      <c r="D103" s="1" t="s">
        <v>92</v>
      </c>
      <c r="E103" s="1" t="s">
        <v>98</v>
      </c>
      <c r="F103" s="1" t="s">
        <v>78</v>
      </c>
      <c r="G103" s="1">
        <v>19</v>
      </c>
      <c r="H103" s="1" t="s">
        <v>23</v>
      </c>
      <c r="I103" s="1" t="s">
        <v>41</v>
      </c>
      <c r="J103" s="2">
        <v>45138</v>
      </c>
      <c r="K103" s="1" t="s">
        <v>42</v>
      </c>
      <c r="L103" s="1" t="s">
        <v>43</v>
      </c>
      <c r="M103" s="1">
        <v>16</v>
      </c>
      <c r="N103" s="1">
        <v>110</v>
      </c>
      <c r="O103" s="6">
        <v>75528</v>
      </c>
      <c r="P103" s="1" t="s">
        <v>63</v>
      </c>
      <c r="Q103" s="6">
        <f>Table2[[#This Row],[Room Booked]]*Table2[[#This Row],[Price]]</f>
        <v>1208448</v>
      </c>
      <c r="R103" s="6">
        <v>107627.4</v>
      </c>
      <c r="S103" t="str" cm="1">
        <f t="array" ref="S103">_xlfn.XLOOKUP(Table2[[#This Row],[Country]],_xlfn.ANCHORARRAY($W$2),$X$2:$X$7)</f>
        <v>ITA</v>
      </c>
    </row>
    <row r="104" spans="1:19" x14ac:dyDescent="0.25">
      <c r="A104" s="1">
        <v>2022</v>
      </c>
      <c r="B104" s="1" t="s">
        <v>51</v>
      </c>
      <c r="C104" s="1" t="s">
        <v>59</v>
      </c>
      <c r="D104" s="1" t="s">
        <v>92</v>
      </c>
      <c r="E104" s="1" t="s">
        <v>98</v>
      </c>
      <c r="F104" s="1" t="s">
        <v>79</v>
      </c>
      <c r="G104" s="1">
        <v>58</v>
      </c>
      <c r="H104" s="1" t="s">
        <v>23</v>
      </c>
      <c r="I104" s="1" t="s">
        <v>24</v>
      </c>
      <c r="J104" s="2">
        <v>44811</v>
      </c>
      <c r="K104" s="1" t="s">
        <v>65</v>
      </c>
      <c r="L104" s="1" t="s">
        <v>34</v>
      </c>
      <c r="M104" s="1">
        <v>4</v>
      </c>
      <c r="N104" s="1">
        <v>119</v>
      </c>
      <c r="O104" s="6">
        <v>1683</v>
      </c>
      <c r="P104" s="1" t="s">
        <v>63</v>
      </c>
      <c r="Q104" s="6">
        <f>Table2[[#This Row],[Room Booked]]*Table2[[#This Row],[Price]]</f>
        <v>6732</v>
      </c>
      <c r="R104" s="6">
        <v>19691.099999999999</v>
      </c>
      <c r="S104" t="str" cm="1">
        <f t="array" ref="S104">_xlfn.XLOOKUP(Table2[[#This Row],[Country]],_xlfn.ANCHORARRAY($W$2),$X$2:$X$7)</f>
        <v>ITA</v>
      </c>
    </row>
    <row r="105" spans="1:19" x14ac:dyDescent="0.25">
      <c r="A105" s="1">
        <v>2022</v>
      </c>
      <c r="B105" s="1" t="s">
        <v>18</v>
      </c>
      <c r="C105" s="1" t="s">
        <v>59</v>
      </c>
      <c r="D105" s="1" t="s">
        <v>60</v>
      </c>
      <c r="E105" s="1" t="s">
        <v>99</v>
      </c>
      <c r="F105" s="1" t="s">
        <v>81</v>
      </c>
      <c r="G105" s="1">
        <v>46</v>
      </c>
      <c r="H105" s="1" t="s">
        <v>23</v>
      </c>
      <c r="I105" s="1" t="s">
        <v>41</v>
      </c>
      <c r="J105" s="2">
        <v>44576</v>
      </c>
      <c r="K105" s="1" t="s">
        <v>49</v>
      </c>
      <c r="L105" s="1" t="s">
        <v>34</v>
      </c>
      <c r="M105" s="1">
        <v>8</v>
      </c>
      <c r="N105" s="1">
        <v>99</v>
      </c>
      <c r="O105" s="6">
        <v>220104</v>
      </c>
      <c r="P105" s="1" t="s">
        <v>63</v>
      </c>
      <c r="Q105" s="6">
        <f>Table2[[#This Row],[Room Booked]]*Table2[[#This Row],[Price]]</f>
        <v>1760832</v>
      </c>
      <c r="R105" s="6">
        <v>104549.4</v>
      </c>
      <c r="S105" t="str" cm="1">
        <f t="array" ref="S105">_xlfn.XLOOKUP(Table2[[#This Row],[Country]],_xlfn.ANCHORARRAY($W$2),$X$2:$X$7)</f>
        <v>USA</v>
      </c>
    </row>
    <row r="106" spans="1:19" x14ac:dyDescent="0.25">
      <c r="A106" s="1">
        <v>2022</v>
      </c>
      <c r="B106" s="1" t="s">
        <v>51</v>
      </c>
      <c r="C106" s="1" t="s">
        <v>59</v>
      </c>
      <c r="D106" s="1" t="s">
        <v>60</v>
      </c>
      <c r="E106" s="1" t="s">
        <v>99</v>
      </c>
      <c r="F106" s="1" t="s">
        <v>82</v>
      </c>
      <c r="G106" s="1">
        <v>58</v>
      </c>
      <c r="H106" s="1" t="s">
        <v>23</v>
      </c>
      <c r="I106" s="1" t="s">
        <v>41</v>
      </c>
      <c r="J106" s="2">
        <v>44811</v>
      </c>
      <c r="K106" s="1" t="s">
        <v>65</v>
      </c>
      <c r="L106" s="1" t="s">
        <v>34</v>
      </c>
      <c r="M106" s="1">
        <v>8</v>
      </c>
      <c r="N106" s="1">
        <v>119</v>
      </c>
      <c r="O106" s="6">
        <v>1683</v>
      </c>
      <c r="P106" s="1" t="s">
        <v>63</v>
      </c>
      <c r="Q106" s="6">
        <f>Table2[[#This Row],[Room Booked]]*Table2[[#This Row],[Price]]</f>
        <v>13464</v>
      </c>
      <c r="R106" s="6">
        <v>19691.099999999999</v>
      </c>
      <c r="S106" t="str" cm="1">
        <f t="array" ref="S106">_xlfn.XLOOKUP(Table2[[#This Row],[Country]],_xlfn.ANCHORARRAY($W$2),$X$2:$X$7)</f>
        <v>USA</v>
      </c>
    </row>
    <row r="107" spans="1:19" x14ac:dyDescent="0.25">
      <c r="A107" s="1">
        <v>2022</v>
      </c>
      <c r="B107" s="1" t="s">
        <v>55</v>
      </c>
      <c r="C107" s="1" t="s">
        <v>94</v>
      </c>
      <c r="D107" s="1" t="s">
        <v>60</v>
      </c>
      <c r="E107" s="1" t="s">
        <v>99</v>
      </c>
      <c r="F107" s="1" t="s">
        <v>83</v>
      </c>
      <c r="G107" s="1">
        <v>54</v>
      </c>
      <c r="H107" s="1" t="s">
        <v>23</v>
      </c>
      <c r="I107" s="1" t="s">
        <v>41</v>
      </c>
      <c r="J107" s="2">
        <v>44776</v>
      </c>
      <c r="K107" s="1" t="s">
        <v>68</v>
      </c>
      <c r="L107" s="1" t="s">
        <v>43</v>
      </c>
      <c r="M107" s="1">
        <v>28</v>
      </c>
      <c r="N107" s="1">
        <v>123</v>
      </c>
      <c r="O107" s="6">
        <v>52768</v>
      </c>
      <c r="P107" s="1" t="s">
        <v>63</v>
      </c>
      <c r="Q107" s="6">
        <f>Table2[[#This Row],[Room Booked]]*Table2[[#This Row],[Price]]</f>
        <v>1477504</v>
      </c>
      <c r="R107" s="6">
        <v>117463.2</v>
      </c>
      <c r="S107" t="str" cm="1">
        <f t="array" ref="S107">_xlfn.XLOOKUP(Table2[[#This Row],[Country]],_xlfn.ANCHORARRAY($W$2),$X$2:$X$7)</f>
        <v>USA</v>
      </c>
    </row>
    <row r="108" spans="1:19" x14ac:dyDescent="0.25">
      <c r="A108" s="1">
        <v>2023</v>
      </c>
      <c r="B108" s="1" t="s">
        <v>36</v>
      </c>
      <c r="C108" s="1" t="s">
        <v>94</v>
      </c>
      <c r="D108" s="1" t="s">
        <v>60</v>
      </c>
      <c r="E108" s="1" t="s">
        <v>99</v>
      </c>
      <c r="F108" s="1" t="s">
        <v>84</v>
      </c>
      <c r="G108" s="1">
        <v>68</v>
      </c>
      <c r="H108" s="1" t="s">
        <v>33</v>
      </c>
      <c r="I108" s="1" t="s">
        <v>24</v>
      </c>
      <c r="J108" s="2">
        <v>45099</v>
      </c>
      <c r="K108" s="1" t="s">
        <v>68</v>
      </c>
      <c r="L108" s="1" t="s">
        <v>26</v>
      </c>
      <c r="M108" s="1">
        <v>28</v>
      </c>
      <c r="N108" s="1">
        <v>99</v>
      </c>
      <c r="O108" s="6">
        <v>23616</v>
      </c>
      <c r="P108" s="1" t="s">
        <v>50</v>
      </c>
      <c r="Q108" s="6">
        <f>Table2[[#This Row],[Room Booked]]*Table2[[#This Row],[Price]]</f>
        <v>661248</v>
      </c>
      <c r="R108" s="6">
        <v>31350.3</v>
      </c>
      <c r="S108" t="str" cm="1">
        <f t="array" ref="S108">_xlfn.XLOOKUP(Table2[[#This Row],[Country]],_xlfn.ANCHORARRAY($W$2),$X$2:$X$7)</f>
        <v>USA</v>
      </c>
    </row>
    <row r="109" spans="1:19" x14ac:dyDescent="0.25">
      <c r="A109" s="1">
        <v>2022</v>
      </c>
      <c r="B109" s="1" t="s">
        <v>36</v>
      </c>
      <c r="C109" s="1" t="s">
        <v>94</v>
      </c>
      <c r="D109" s="1" t="s">
        <v>60</v>
      </c>
      <c r="E109" s="1" t="s">
        <v>99</v>
      </c>
      <c r="F109" s="1" t="s">
        <v>85</v>
      </c>
      <c r="G109" s="1">
        <v>52</v>
      </c>
      <c r="H109" s="1" t="s">
        <v>33</v>
      </c>
      <c r="I109" s="1" t="s">
        <v>24</v>
      </c>
      <c r="J109" s="2">
        <v>44738</v>
      </c>
      <c r="K109" s="1" t="s">
        <v>46</v>
      </c>
      <c r="L109" s="1" t="s">
        <v>26</v>
      </c>
      <c r="M109" s="1">
        <v>15</v>
      </c>
      <c r="N109" s="1">
        <v>106</v>
      </c>
      <c r="O109" s="6">
        <v>8278</v>
      </c>
      <c r="P109" s="1" t="s">
        <v>27</v>
      </c>
      <c r="Q109" s="6">
        <f>Table2[[#This Row],[Room Booked]]*Table2[[#This Row],[Price]]</f>
        <v>124170</v>
      </c>
      <c r="R109" s="6">
        <v>89402.4</v>
      </c>
      <c r="S109" t="str" cm="1">
        <f t="array" ref="S109">_xlfn.XLOOKUP(Table2[[#This Row],[Country]],_xlfn.ANCHORARRAY($W$2),$X$2:$X$7)</f>
        <v>USA</v>
      </c>
    </row>
    <row r="110" spans="1:19" x14ac:dyDescent="0.25">
      <c r="A110" s="1">
        <v>2022</v>
      </c>
      <c r="B110" s="1" t="s">
        <v>51</v>
      </c>
      <c r="C110" s="1" t="s">
        <v>59</v>
      </c>
      <c r="D110" s="1" t="s">
        <v>60</v>
      </c>
      <c r="E110" s="1" t="s">
        <v>99</v>
      </c>
      <c r="F110" s="1" t="s">
        <v>86</v>
      </c>
      <c r="G110" s="1">
        <v>27</v>
      </c>
      <c r="H110" s="1" t="s">
        <v>33</v>
      </c>
      <c r="I110" s="1" t="s">
        <v>41</v>
      </c>
      <c r="J110" s="2">
        <v>44824</v>
      </c>
      <c r="K110" s="1" t="s">
        <v>68</v>
      </c>
      <c r="L110" s="1" t="s">
        <v>43</v>
      </c>
      <c r="M110" s="1">
        <v>13</v>
      </c>
      <c r="N110" s="1">
        <v>107</v>
      </c>
      <c r="O110" s="6">
        <v>119616</v>
      </c>
      <c r="P110" s="1" t="s">
        <v>50</v>
      </c>
      <c r="Q110" s="6">
        <f>Table2[[#This Row],[Room Booked]]*Table2[[#This Row],[Price]]</f>
        <v>1555008</v>
      </c>
      <c r="R110" s="6">
        <v>11587.8</v>
      </c>
      <c r="S110" t="str" cm="1">
        <f t="array" ref="S110">_xlfn.XLOOKUP(Table2[[#This Row],[Country]],_xlfn.ANCHORARRAY($W$2),$X$2:$X$7)</f>
        <v>USA</v>
      </c>
    </row>
    <row r="111" spans="1:19" x14ac:dyDescent="0.25">
      <c r="A111" s="1">
        <v>2022</v>
      </c>
      <c r="B111" s="1" t="s">
        <v>18</v>
      </c>
      <c r="C111" s="1" t="s">
        <v>59</v>
      </c>
      <c r="D111" s="1" t="s">
        <v>60</v>
      </c>
      <c r="E111" s="1" t="s">
        <v>100</v>
      </c>
      <c r="F111" s="1" t="s">
        <v>88</v>
      </c>
      <c r="G111" s="1">
        <v>46</v>
      </c>
      <c r="H111" s="1" t="s">
        <v>23</v>
      </c>
      <c r="I111" s="1" t="s">
        <v>41</v>
      </c>
      <c r="J111" s="2">
        <v>44576</v>
      </c>
      <c r="K111" s="1" t="s">
        <v>49</v>
      </c>
      <c r="L111" s="1" t="s">
        <v>34</v>
      </c>
      <c r="M111" s="1">
        <v>16</v>
      </c>
      <c r="N111" s="1">
        <v>99</v>
      </c>
      <c r="O111" s="6">
        <v>220104</v>
      </c>
      <c r="P111" s="1" t="s">
        <v>63</v>
      </c>
      <c r="Q111" s="6">
        <f>Table2[[#This Row],[Room Booked]]*Table2[[#This Row],[Price]]</f>
        <v>3521664</v>
      </c>
      <c r="R111" s="6">
        <v>104549.4</v>
      </c>
      <c r="S111" t="str" cm="1">
        <f t="array" ref="S111">_xlfn.XLOOKUP(Table2[[#This Row],[Country]],_xlfn.ANCHORARRAY($W$2),$X$2:$X$7)</f>
        <v>USA</v>
      </c>
    </row>
    <row r="112" spans="1:19" x14ac:dyDescent="0.25">
      <c r="A112" s="1">
        <v>2022</v>
      </c>
      <c r="B112" s="1" t="s">
        <v>51</v>
      </c>
      <c r="C112" s="1" t="s">
        <v>59</v>
      </c>
      <c r="D112" s="1" t="s">
        <v>60</v>
      </c>
      <c r="E112" s="1" t="s">
        <v>100</v>
      </c>
      <c r="F112" s="1" t="s">
        <v>89</v>
      </c>
      <c r="G112" s="1">
        <v>58</v>
      </c>
      <c r="H112" s="1" t="s">
        <v>23</v>
      </c>
      <c r="I112" s="1" t="s">
        <v>24</v>
      </c>
      <c r="J112" s="2">
        <v>44811</v>
      </c>
      <c r="K112" s="1" t="s">
        <v>65</v>
      </c>
      <c r="L112" s="1" t="s">
        <v>34</v>
      </c>
      <c r="M112" s="1">
        <v>16</v>
      </c>
      <c r="N112" s="1">
        <v>119</v>
      </c>
      <c r="O112" s="6">
        <v>1683</v>
      </c>
      <c r="P112" s="1" t="s">
        <v>63</v>
      </c>
      <c r="Q112" s="6">
        <f>Table2[[#This Row],[Room Booked]]*Table2[[#This Row],[Price]]</f>
        <v>26928</v>
      </c>
      <c r="R112" s="6">
        <v>19691.099999999999</v>
      </c>
      <c r="S112" t="str" cm="1">
        <f t="array" ref="S112">_xlfn.XLOOKUP(Table2[[#This Row],[Country]],_xlfn.ANCHORARRAY($W$2),$X$2:$X$7)</f>
        <v>USA</v>
      </c>
    </row>
    <row r="113" spans="1:19" x14ac:dyDescent="0.25">
      <c r="A113" s="1">
        <v>2022</v>
      </c>
      <c r="B113" s="1" t="s">
        <v>55</v>
      </c>
      <c r="C113" s="1" t="s">
        <v>94</v>
      </c>
      <c r="D113" s="1" t="s">
        <v>60</v>
      </c>
      <c r="E113" s="1" t="s">
        <v>100</v>
      </c>
      <c r="F113" s="1" t="s">
        <v>90</v>
      </c>
      <c r="G113" s="1">
        <v>54</v>
      </c>
      <c r="H113" s="1" t="s">
        <v>23</v>
      </c>
      <c r="I113" s="1" t="s">
        <v>41</v>
      </c>
      <c r="J113" s="2">
        <v>44776</v>
      </c>
      <c r="K113" s="1" t="s">
        <v>68</v>
      </c>
      <c r="L113" s="1" t="s">
        <v>43</v>
      </c>
      <c r="M113" s="1">
        <v>28</v>
      </c>
      <c r="N113" s="1">
        <v>123</v>
      </c>
      <c r="O113" s="6">
        <v>52768</v>
      </c>
      <c r="P113" s="1" t="s">
        <v>63</v>
      </c>
      <c r="Q113" s="6">
        <f>Table2[[#This Row],[Room Booked]]*Table2[[#This Row],[Price]]</f>
        <v>1477504</v>
      </c>
      <c r="R113" s="6">
        <v>117463.2</v>
      </c>
      <c r="S113" t="str" cm="1">
        <f t="array" ref="S113">_xlfn.XLOOKUP(Table2[[#This Row],[Country]],_xlfn.ANCHORARRAY($W$2),$X$2:$X$7)</f>
        <v>USA</v>
      </c>
    </row>
    <row r="114" spans="1:19" x14ac:dyDescent="0.25">
      <c r="A114" s="1">
        <v>2023</v>
      </c>
      <c r="B114" s="1" t="s">
        <v>36</v>
      </c>
      <c r="C114" s="1" t="s">
        <v>94</v>
      </c>
      <c r="D114" s="1" t="s">
        <v>60</v>
      </c>
      <c r="E114" s="1" t="s">
        <v>100</v>
      </c>
      <c r="F114" s="1" t="s">
        <v>22</v>
      </c>
      <c r="G114" s="1">
        <v>68</v>
      </c>
      <c r="H114" s="1" t="s">
        <v>33</v>
      </c>
      <c r="I114" s="1" t="s">
        <v>24</v>
      </c>
      <c r="J114" s="2">
        <v>45099</v>
      </c>
      <c r="K114" s="1" t="s">
        <v>68</v>
      </c>
      <c r="L114" s="1" t="s">
        <v>26</v>
      </c>
      <c r="M114" s="1">
        <v>16</v>
      </c>
      <c r="N114" s="1">
        <v>99</v>
      </c>
      <c r="O114" s="6">
        <v>23616</v>
      </c>
      <c r="P114" s="1" t="s">
        <v>50</v>
      </c>
      <c r="Q114" s="6">
        <f>Table2[[#This Row],[Room Booked]]*Table2[[#This Row],[Price]]</f>
        <v>377856</v>
      </c>
      <c r="R114" s="6">
        <v>31350.3</v>
      </c>
      <c r="S114" t="str" cm="1">
        <f t="array" ref="S114">_xlfn.XLOOKUP(Table2[[#This Row],[Country]],_xlfn.ANCHORARRAY($W$2),$X$2:$X$7)</f>
        <v>USA</v>
      </c>
    </row>
    <row r="115" spans="1:19" x14ac:dyDescent="0.25">
      <c r="A115" s="1">
        <v>2022</v>
      </c>
      <c r="B115" s="1" t="s">
        <v>36</v>
      </c>
      <c r="C115" s="1" t="s">
        <v>94</v>
      </c>
      <c r="D115" s="1" t="s">
        <v>60</v>
      </c>
      <c r="E115" s="1" t="s">
        <v>100</v>
      </c>
      <c r="F115" s="1" t="s">
        <v>32</v>
      </c>
      <c r="G115" s="1">
        <v>52</v>
      </c>
      <c r="H115" s="1" t="s">
        <v>33</v>
      </c>
      <c r="I115" s="1" t="s">
        <v>41</v>
      </c>
      <c r="J115" s="2">
        <v>44738</v>
      </c>
      <c r="K115" s="1" t="s">
        <v>46</v>
      </c>
      <c r="L115" s="1" t="s">
        <v>26</v>
      </c>
      <c r="M115" s="1">
        <v>15</v>
      </c>
      <c r="N115" s="1">
        <v>106</v>
      </c>
      <c r="O115" s="6">
        <v>8278</v>
      </c>
      <c r="P115" s="1" t="s">
        <v>27</v>
      </c>
      <c r="Q115" s="6">
        <f>Table2[[#This Row],[Room Booked]]*Table2[[#This Row],[Price]]</f>
        <v>124170</v>
      </c>
      <c r="R115" s="6">
        <v>89402.4</v>
      </c>
      <c r="S115" t="str" cm="1">
        <f t="array" ref="S115">_xlfn.XLOOKUP(Table2[[#This Row],[Country]],_xlfn.ANCHORARRAY($W$2),$X$2:$X$7)</f>
        <v>USA</v>
      </c>
    </row>
    <row r="116" spans="1:19" x14ac:dyDescent="0.25">
      <c r="A116" s="1">
        <v>2022</v>
      </c>
      <c r="B116" s="1" t="s">
        <v>51</v>
      </c>
      <c r="C116" s="1" t="s">
        <v>59</v>
      </c>
      <c r="D116" s="1" t="s">
        <v>60</v>
      </c>
      <c r="E116" s="1" t="s">
        <v>100</v>
      </c>
      <c r="F116" s="1" t="s">
        <v>40</v>
      </c>
      <c r="G116" s="1">
        <v>27</v>
      </c>
      <c r="H116" s="1" t="s">
        <v>33</v>
      </c>
      <c r="I116" s="1" t="s">
        <v>41</v>
      </c>
      <c r="J116" s="2">
        <v>44824</v>
      </c>
      <c r="K116" s="1" t="s">
        <v>68</v>
      </c>
      <c r="L116" s="1" t="s">
        <v>43</v>
      </c>
      <c r="M116" s="1">
        <v>6</v>
      </c>
      <c r="N116" s="1">
        <v>107</v>
      </c>
      <c r="O116" s="6">
        <v>119616</v>
      </c>
      <c r="P116" s="1" t="s">
        <v>50</v>
      </c>
      <c r="Q116" s="6">
        <f>Table2[[#This Row],[Room Booked]]*Table2[[#This Row],[Price]]</f>
        <v>717696</v>
      </c>
      <c r="R116" s="6">
        <v>11587.8</v>
      </c>
      <c r="S116" t="str" cm="1">
        <f t="array" ref="S116">_xlfn.XLOOKUP(Table2[[#This Row],[Country]],_xlfn.ANCHORARRAY($W$2),$X$2:$X$7)</f>
        <v>USA</v>
      </c>
    </row>
    <row r="117" spans="1:19" x14ac:dyDescent="0.25">
      <c r="A117" s="1">
        <v>2022</v>
      </c>
      <c r="B117" s="1" t="s">
        <v>18</v>
      </c>
      <c r="C117" s="1" t="s">
        <v>59</v>
      </c>
      <c r="D117" s="1" t="s">
        <v>60</v>
      </c>
      <c r="E117" s="1" t="s">
        <v>100</v>
      </c>
      <c r="F117" s="1" t="s">
        <v>45</v>
      </c>
      <c r="G117" s="1">
        <v>46</v>
      </c>
      <c r="H117" s="1" t="s">
        <v>23</v>
      </c>
      <c r="I117" s="1" t="s">
        <v>24</v>
      </c>
      <c r="J117" s="2">
        <v>44576</v>
      </c>
      <c r="K117" s="1" t="s">
        <v>49</v>
      </c>
      <c r="L117" s="1" t="s">
        <v>34</v>
      </c>
      <c r="M117" s="1">
        <v>16</v>
      </c>
      <c r="N117" s="1">
        <v>99</v>
      </c>
      <c r="O117" s="6">
        <v>220104</v>
      </c>
      <c r="P117" s="1" t="s">
        <v>63</v>
      </c>
      <c r="Q117" s="6">
        <f>Table2[[#This Row],[Room Booked]]*Table2[[#This Row],[Price]]</f>
        <v>3521664</v>
      </c>
      <c r="R117" s="6">
        <v>104549.4</v>
      </c>
      <c r="S117" t="str" cm="1">
        <f t="array" ref="S117">_xlfn.XLOOKUP(Table2[[#This Row],[Country]],_xlfn.ANCHORARRAY($W$2),$X$2:$X$7)</f>
        <v>USA</v>
      </c>
    </row>
    <row r="118" spans="1:19" x14ac:dyDescent="0.25">
      <c r="A118" s="1">
        <v>2022</v>
      </c>
      <c r="B118" s="1" t="s">
        <v>51</v>
      </c>
      <c r="C118" s="1" t="s">
        <v>59</v>
      </c>
      <c r="D118" s="1" t="s">
        <v>60</v>
      </c>
      <c r="E118" s="1" t="s">
        <v>100</v>
      </c>
      <c r="F118" s="1" t="s">
        <v>48</v>
      </c>
      <c r="G118" s="1">
        <v>58</v>
      </c>
      <c r="H118" s="1" t="s">
        <v>23</v>
      </c>
      <c r="I118" s="1" t="s">
        <v>41</v>
      </c>
      <c r="J118" s="2">
        <v>44811</v>
      </c>
      <c r="K118" s="1" t="s">
        <v>65</v>
      </c>
      <c r="L118" s="1" t="s">
        <v>34</v>
      </c>
      <c r="M118" s="1">
        <v>16</v>
      </c>
      <c r="N118" s="1">
        <v>119</v>
      </c>
      <c r="O118" s="6">
        <v>1683</v>
      </c>
      <c r="P118" s="1" t="s">
        <v>63</v>
      </c>
      <c r="Q118" s="6">
        <f>Table2[[#This Row],[Room Booked]]*Table2[[#This Row],[Price]]</f>
        <v>26928</v>
      </c>
      <c r="R118" s="6">
        <v>19691.099999999999</v>
      </c>
      <c r="S118" t="str" cm="1">
        <f t="array" ref="S118">_xlfn.XLOOKUP(Table2[[#This Row],[Country]],_xlfn.ANCHORARRAY($W$2),$X$2:$X$7)</f>
        <v>USA</v>
      </c>
    </row>
    <row r="119" spans="1:19" x14ac:dyDescent="0.25">
      <c r="A119" s="1">
        <v>2022</v>
      </c>
      <c r="B119" s="1" t="s">
        <v>55</v>
      </c>
      <c r="C119" s="1" t="s">
        <v>94</v>
      </c>
      <c r="D119" s="1" t="s">
        <v>60</v>
      </c>
      <c r="E119" s="1" t="s">
        <v>100</v>
      </c>
      <c r="F119" s="1" t="s">
        <v>52</v>
      </c>
      <c r="G119" s="1">
        <v>54</v>
      </c>
      <c r="H119" s="1" t="s">
        <v>23</v>
      </c>
      <c r="I119" s="1" t="s">
        <v>41</v>
      </c>
      <c r="J119" s="2">
        <v>44776</v>
      </c>
      <c r="K119" s="1" t="s">
        <v>68</v>
      </c>
      <c r="L119" s="1" t="s">
        <v>43</v>
      </c>
      <c r="M119" s="1">
        <v>28</v>
      </c>
      <c r="N119" s="1">
        <v>123</v>
      </c>
      <c r="O119" s="6">
        <v>252768</v>
      </c>
      <c r="P119" s="1" t="s">
        <v>63</v>
      </c>
      <c r="Q119" s="6">
        <f>Table2[[#This Row],[Room Booked]]*Table2[[#This Row],[Price]]</f>
        <v>7077504</v>
      </c>
      <c r="R119" s="6">
        <v>117463.2</v>
      </c>
      <c r="S119" t="str" cm="1">
        <f t="array" ref="S119">_xlfn.XLOOKUP(Table2[[#This Row],[Country]],_xlfn.ANCHORARRAY($W$2),$X$2:$X$7)</f>
        <v>USA</v>
      </c>
    </row>
    <row r="120" spans="1:19" x14ac:dyDescent="0.25">
      <c r="A120" s="1">
        <v>2023</v>
      </c>
      <c r="B120" s="1" t="s">
        <v>36</v>
      </c>
      <c r="C120" s="1" t="s">
        <v>94</v>
      </c>
      <c r="D120" s="1" t="s">
        <v>60</v>
      </c>
      <c r="E120" s="1" t="s">
        <v>100</v>
      </c>
      <c r="F120" s="1" t="s">
        <v>54</v>
      </c>
      <c r="G120" s="1">
        <v>68</v>
      </c>
      <c r="H120" s="1" t="s">
        <v>33</v>
      </c>
      <c r="I120" s="1" t="s">
        <v>24</v>
      </c>
      <c r="J120" s="2">
        <v>45099</v>
      </c>
      <c r="K120" s="1" t="s">
        <v>68</v>
      </c>
      <c r="L120" s="1" t="s">
        <v>26</v>
      </c>
      <c r="M120" s="1">
        <v>28</v>
      </c>
      <c r="N120" s="1">
        <v>99</v>
      </c>
      <c r="O120" s="6">
        <v>223616</v>
      </c>
      <c r="P120" s="1" t="s">
        <v>50</v>
      </c>
      <c r="Q120" s="6">
        <f>Table2[[#This Row],[Room Booked]]*Table2[[#This Row],[Price]]</f>
        <v>6261248</v>
      </c>
      <c r="R120" s="6">
        <v>31350.3</v>
      </c>
      <c r="S120" t="str" cm="1">
        <f t="array" ref="S120">_xlfn.XLOOKUP(Table2[[#This Row],[Country]],_xlfn.ANCHORARRAY($W$2),$X$2:$X$7)</f>
        <v>USA</v>
      </c>
    </row>
    <row r="121" spans="1:19" x14ac:dyDescent="0.25">
      <c r="A121" s="1">
        <v>2022</v>
      </c>
      <c r="B121" s="1" t="s">
        <v>36</v>
      </c>
      <c r="C121" s="1" t="s">
        <v>94</v>
      </c>
      <c r="D121" s="1" t="s">
        <v>60</v>
      </c>
      <c r="E121" s="1" t="s">
        <v>100</v>
      </c>
      <c r="F121" s="1" t="s">
        <v>56</v>
      </c>
      <c r="G121" s="1">
        <v>52</v>
      </c>
      <c r="H121" s="1" t="s">
        <v>33</v>
      </c>
      <c r="I121" s="1" t="s">
        <v>24</v>
      </c>
      <c r="J121" s="2">
        <v>44738</v>
      </c>
      <c r="K121" s="1" t="s">
        <v>46</v>
      </c>
      <c r="L121" s="1" t="s">
        <v>26</v>
      </c>
      <c r="M121" s="1">
        <v>15</v>
      </c>
      <c r="N121" s="1">
        <v>106</v>
      </c>
      <c r="O121" s="6">
        <v>8278</v>
      </c>
      <c r="P121" s="1" t="s">
        <v>27</v>
      </c>
      <c r="Q121" s="6">
        <f>Table2[[#This Row],[Room Booked]]*Table2[[#This Row],[Price]]</f>
        <v>124170</v>
      </c>
      <c r="R121" s="6">
        <v>89402.4</v>
      </c>
      <c r="S121" t="str" cm="1">
        <f t="array" ref="S121">_xlfn.XLOOKUP(Table2[[#This Row],[Country]],_xlfn.ANCHORARRAY($W$2),$X$2:$X$7)</f>
        <v>USA</v>
      </c>
    </row>
    <row r="122" spans="1:19" x14ac:dyDescent="0.25">
      <c r="A122" s="1">
        <v>2022</v>
      </c>
      <c r="B122" s="1" t="s">
        <v>51</v>
      </c>
      <c r="C122" s="1" t="s">
        <v>59</v>
      </c>
      <c r="D122" s="1" t="s">
        <v>60</v>
      </c>
      <c r="E122" s="1" t="s">
        <v>100</v>
      </c>
      <c r="F122" s="1" t="s">
        <v>58</v>
      </c>
      <c r="G122" s="1">
        <v>27</v>
      </c>
      <c r="H122" s="1" t="s">
        <v>33</v>
      </c>
      <c r="I122" s="1" t="s">
        <v>24</v>
      </c>
      <c r="J122" s="2">
        <v>44824</v>
      </c>
      <c r="K122" s="1" t="s">
        <v>68</v>
      </c>
      <c r="L122" s="1" t="s">
        <v>43</v>
      </c>
      <c r="M122" s="1">
        <v>12</v>
      </c>
      <c r="N122" s="1">
        <v>107</v>
      </c>
      <c r="O122" s="6">
        <v>119616</v>
      </c>
      <c r="P122" s="1" t="s">
        <v>50</v>
      </c>
      <c r="Q122" s="6">
        <f>Table2[[#This Row],[Room Booked]]*Table2[[#This Row],[Price]]</f>
        <v>1435392</v>
      </c>
      <c r="R122" s="6">
        <v>11587.8</v>
      </c>
      <c r="S122" t="str" cm="1">
        <f t="array" ref="S122">_xlfn.XLOOKUP(Table2[[#This Row],[Country]],_xlfn.ANCHORARRAY($W$2),$X$2:$X$7)</f>
        <v>USA</v>
      </c>
    </row>
    <row r="123" spans="1:19" x14ac:dyDescent="0.25">
      <c r="A123" s="1">
        <v>2022</v>
      </c>
      <c r="B123" s="1" t="s">
        <v>28</v>
      </c>
      <c r="C123" s="1" t="s">
        <v>29</v>
      </c>
      <c r="D123" s="1" t="s">
        <v>30</v>
      </c>
      <c r="E123" s="1" t="s">
        <v>101</v>
      </c>
      <c r="F123" s="1" t="s">
        <v>62</v>
      </c>
      <c r="G123" s="1">
        <v>21</v>
      </c>
      <c r="H123" s="1" t="s">
        <v>33</v>
      </c>
      <c r="I123" s="1" t="s">
        <v>24</v>
      </c>
      <c r="J123" s="2">
        <v>44674</v>
      </c>
      <c r="K123" s="1" t="s">
        <v>25</v>
      </c>
      <c r="L123" s="1" t="s">
        <v>34</v>
      </c>
      <c r="M123" s="1">
        <v>26</v>
      </c>
      <c r="N123" s="1">
        <v>106</v>
      </c>
      <c r="O123" s="6">
        <v>3928</v>
      </c>
      <c r="P123" s="1" t="s">
        <v>35</v>
      </c>
      <c r="Q123" s="6">
        <f>Table2[[#This Row],[Room Booked]]*Table2[[#This Row],[Price]]</f>
        <v>102128</v>
      </c>
      <c r="R123" s="6">
        <v>44779.199999999997</v>
      </c>
      <c r="S123" t="str" cm="1">
        <f t="array" ref="S123">_xlfn.XLOOKUP(Table2[[#This Row],[Country]],_xlfn.ANCHORARRAY($W$2),$X$2:$X$7)</f>
        <v>UK</v>
      </c>
    </row>
    <row r="124" spans="1:19" x14ac:dyDescent="0.25">
      <c r="A124" s="1">
        <v>2022</v>
      </c>
      <c r="B124" s="1" t="s">
        <v>47</v>
      </c>
      <c r="C124" s="1" t="s">
        <v>29</v>
      </c>
      <c r="D124" s="1" t="s">
        <v>30</v>
      </c>
      <c r="E124" s="1" t="s">
        <v>101</v>
      </c>
      <c r="F124" s="1" t="s">
        <v>64</v>
      </c>
      <c r="G124" s="1">
        <v>56</v>
      </c>
      <c r="H124" s="1" t="s">
        <v>23</v>
      </c>
      <c r="I124" s="1" t="s">
        <v>24</v>
      </c>
      <c r="J124" s="2">
        <v>44914</v>
      </c>
      <c r="K124" s="1" t="s">
        <v>49</v>
      </c>
      <c r="L124" s="1" t="s">
        <v>34</v>
      </c>
      <c r="M124" s="1">
        <v>47</v>
      </c>
      <c r="N124" s="1">
        <v>121</v>
      </c>
      <c r="O124" s="6">
        <v>173568</v>
      </c>
      <c r="P124" s="1" t="s">
        <v>50</v>
      </c>
      <c r="Q124" s="6">
        <f>Table2[[#This Row],[Room Booked]]*Table2[[#This Row],[Price]]</f>
        <v>8157696</v>
      </c>
      <c r="R124" s="6">
        <v>197433.60000000001</v>
      </c>
      <c r="S124" t="str" cm="1">
        <f t="array" ref="S124">_xlfn.XLOOKUP(Table2[[#This Row],[Country]],_xlfn.ANCHORARRAY($W$2),$X$2:$X$7)</f>
        <v>UK</v>
      </c>
    </row>
    <row r="125" spans="1:19" x14ac:dyDescent="0.25">
      <c r="A125" s="1">
        <v>2022</v>
      </c>
      <c r="B125" s="1" t="s">
        <v>55</v>
      </c>
      <c r="C125" s="1" t="s">
        <v>29</v>
      </c>
      <c r="D125" s="1" t="s">
        <v>30</v>
      </c>
      <c r="E125" s="1" t="s">
        <v>101</v>
      </c>
      <c r="F125" s="1" t="s">
        <v>66</v>
      </c>
      <c r="G125" s="1">
        <v>22</v>
      </c>
      <c r="H125" s="1" t="s">
        <v>33</v>
      </c>
      <c r="I125" s="1" t="s">
        <v>24</v>
      </c>
      <c r="J125" s="2">
        <v>44782</v>
      </c>
      <c r="K125" s="1" t="s">
        <v>42</v>
      </c>
      <c r="L125" s="1" t="s">
        <v>26</v>
      </c>
      <c r="M125" s="1">
        <v>38</v>
      </c>
      <c r="N125" s="1">
        <v>105</v>
      </c>
      <c r="O125" s="6">
        <v>35248</v>
      </c>
      <c r="P125" s="1" t="s">
        <v>35</v>
      </c>
      <c r="Q125" s="6">
        <f>Table2[[#This Row],[Room Booked]]*Table2[[#This Row],[Price]]</f>
        <v>1339424</v>
      </c>
      <c r="R125" s="6">
        <v>91204.2</v>
      </c>
      <c r="S125" t="str" cm="1">
        <f t="array" ref="S125">_xlfn.XLOOKUP(Table2[[#This Row],[Country]],_xlfn.ANCHORARRAY($W$2),$X$2:$X$7)</f>
        <v>UK</v>
      </c>
    </row>
    <row r="126" spans="1:19" x14ac:dyDescent="0.25">
      <c r="A126" s="1">
        <v>2023</v>
      </c>
      <c r="B126" s="1" t="s">
        <v>36</v>
      </c>
      <c r="C126" s="1" t="s">
        <v>29</v>
      </c>
      <c r="D126" s="1" t="s">
        <v>30</v>
      </c>
      <c r="E126" s="1" t="s">
        <v>101</v>
      </c>
      <c r="F126" s="1" t="s">
        <v>67</v>
      </c>
      <c r="G126" s="1">
        <v>35</v>
      </c>
      <c r="H126" s="1" t="s">
        <v>33</v>
      </c>
      <c r="I126" s="1" t="s">
        <v>24</v>
      </c>
      <c r="J126" s="2">
        <v>45095</v>
      </c>
      <c r="K126" s="1" t="s">
        <v>68</v>
      </c>
      <c r="L126" s="1" t="s">
        <v>26</v>
      </c>
      <c r="M126" s="1">
        <v>27</v>
      </c>
      <c r="N126" s="1">
        <v>109</v>
      </c>
      <c r="O126" s="6">
        <v>76704</v>
      </c>
      <c r="P126" s="1" t="s">
        <v>50</v>
      </c>
      <c r="Q126" s="6">
        <f>Table2[[#This Row],[Room Booked]]*Table2[[#This Row],[Price]]</f>
        <v>2071008</v>
      </c>
      <c r="R126" s="6">
        <v>86702.7</v>
      </c>
      <c r="S126" t="str" cm="1">
        <f t="array" ref="S126">_xlfn.XLOOKUP(Table2[[#This Row],[Country]],_xlfn.ANCHORARRAY($W$2),$X$2:$X$7)</f>
        <v>UK</v>
      </c>
    </row>
    <row r="127" spans="1:19" x14ac:dyDescent="0.25">
      <c r="A127" s="1">
        <v>2022</v>
      </c>
      <c r="B127" s="1" t="s">
        <v>69</v>
      </c>
      <c r="C127" s="1" t="s">
        <v>29</v>
      </c>
      <c r="D127" s="1" t="s">
        <v>30</v>
      </c>
      <c r="E127" s="1" t="s">
        <v>101</v>
      </c>
      <c r="F127" s="1" t="s">
        <v>73</v>
      </c>
      <c r="G127" s="1">
        <v>20</v>
      </c>
      <c r="H127" s="1" t="s">
        <v>33</v>
      </c>
      <c r="I127" s="1" t="s">
        <v>24</v>
      </c>
      <c r="J127" s="2">
        <v>44866</v>
      </c>
      <c r="K127" s="1" t="s">
        <v>46</v>
      </c>
      <c r="L127" s="1" t="s">
        <v>34</v>
      </c>
      <c r="M127" s="1">
        <v>19</v>
      </c>
      <c r="N127" s="1">
        <v>125</v>
      </c>
      <c r="O127" s="6">
        <v>7364</v>
      </c>
      <c r="P127" s="1" t="s">
        <v>27</v>
      </c>
      <c r="Q127" s="6">
        <f>Table2[[#This Row],[Room Booked]]*Table2[[#This Row],[Price]]</f>
        <v>139916</v>
      </c>
      <c r="R127" s="6">
        <v>46393.2</v>
      </c>
      <c r="S127" t="str" cm="1">
        <f t="array" ref="S127">_xlfn.XLOOKUP(Table2[[#This Row],[Country]],_xlfn.ANCHORARRAY($W$2),$X$2:$X$7)</f>
        <v>UK</v>
      </c>
    </row>
    <row r="128" spans="1:19" x14ac:dyDescent="0.25">
      <c r="A128" s="1">
        <v>2022</v>
      </c>
      <c r="B128" s="1" t="s">
        <v>28</v>
      </c>
      <c r="C128" s="1" t="s">
        <v>29</v>
      </c>
      <c r="D128" s="1" t="s">
        <v>30</v>
      </c>
      <c r="E128" s="1" t="s">
        <v>101</v>
      </c>
      <c r="F128" s="1" t="s">
        <v>74</v>
      </c>
      <c r="G128" s="1">
        <v>21</v>
      </c>
      <c r="H128" s="1" t="s">
        <v>33</v>
      </c>
      <c r="I128" s="1" t="s">
        <v>24</v>
      </c>
      <c r="J128" s="2">
        <v>44674</v>
      </c>
      <c r="K128" s="1" t="s">
        <v>25</v>
      </c>
      <c r="L128" s="1" t="s">
        <v>34</v>
      </c>
      <c r="M128" s="1">
        <v>26</v>
      </c>
      <c r="N128" s="1">
        <v>106</v>
      </c>
      <c r="O128" s="6">
        <v>3928</v>
      </c>
      <c r="P128" s="1" t="s">
        <v>35</v>
      </c>
      <c r="Q128" s="6">
        <f>Table2[[#This Row],[Room Booked]]*Table2[[#This Row],[Price]]</f>
        <v>102128</v>
      </c>
      <c r="R128" s="6">
        <v>44779.199999999997</v>
      </c>
      <c r="S128" t="str" cm="1">
        <f t="array" ref="S128">_xlfn.XLOOKUP(Table2[[#This Row],[Country]],_xlfn.ANCHORARRAY($W$2),$X$2:$X$7)</f>
        <v>UK</v>
      </c>
    </row>
    <row r="129" spans="1:19" x14ac:dyDescent="0.25">
      <c r="A129" s="1">
        <v>2022</v>
      </c>
      <c r="B129" s="1" t="s">
        <v>47</v>
      </c>
      <c r="C129" s="1" t="s">
        <v>29</v>
      </c>
      <c r="D129" s="1" t="s">
        <v>30</v>
      </c>
      <c r="E129" s="1" t="s">
        <v>101</v>
      </c>
      <c r="F129" s="1" t="s">
        <v>75</v>
      </c>
      <c r="G129" s="1">
        <v>56</v>
      </c>
      <c r="H129" s="1" t="s">
        <v>23</v>
      </c>
      <c r="I129" s="1" t="s">
        <v>24</v>
      </c>
      <c r="J129" s="2">
        <v>44914</v>
      </c>
      <c r="K129" s="1" t="s">
        <v>49</v>
      </c>
      <c r="L129" s="1" t="s">
        <v>34</v>
      </c>
      <c r="M129" s="1">
        <v>47</v>
      </c>
      <c r="N129" s="1">
        <v>121</v>
      </c>
      <c r="O129" s="6">
        <v>173568</v>
      </c>
      <c r="P129" s="1" t="s">
        <v>50</v>
      </c>
      <c r="Q129" s="6">
        <f>Table2[[#This Row],[Room Booked]]*Table2[[#This Row],[Price]]</f>
        <v>8157696</v>
      </c>
      <c r="R129" s="6">
        <v>197433.60000000001</v>
      </c>
      <c r="S129" t="str" cm="1">
        <f t="array" ref="S129">_xlfn.XLOOKUP(Table2[[#This Row],[Country]],_xlfn.ANCHORARRAY($W$2),$X$2:$X$7)</f>
        <v>UK</v>
      </c>
    </row>
    <row r="130" spans="1:19" x14ac:dyDescent="0.25">
      <c r="A130" s="1">
        <v>2022</v>
      </c>
      <c r="B130" s="1" t="s">
        <v>55</v>
      </c>
      <c r="C130" s="1" t="s">
        <v>29</v>
      </c>
      <c r="D130" s="1" t="s">
        <v>30</v>
      </c>
      <c r="E130" s="1" t="s">
        <v>101</v>
      </c>
      <c r="F130" s="1" t="s">
        <v>77</v>
      </c>
      <c r="G130" s="1">
        <v>22</v>
      </c>
      <c r="H130" s="1" t="s">
        <v>33</v>
      </c>
      <c r="I130" s="1" t="s">
        <v>41</v>
      </c>
      <c r="J130" s="2">
        <v>44782</v>
      </c>
      <c r="K130" s="1" t="s">
        <v>42</v>
      </c>
      <c r="L130" s="1" t="s">
        <v>26</v>
      </c>
      <c r="M130" s="1">
        <v>38</v>
      </c>
      <c r="N130" s="1">
        <v>105</v>
      </c>
      <c r="O130" s="6">
        <v>35248</v>
      </c>
      <c r="P130" s="1" t="s">
        <v>35</v>
      </c>
      <c r="Q130" s="6">
        <f>Table2[[#This Row],[Room Booked]]*Table2[[#This Row],[Price]]</f>
        <v>1339424</v>
      </c>
      <c r="R130" s="6">
        <v>91204.2</v>
      </c>
      <c r="S130" t="str" cm="1">
        <f t="array" ref="S130">_xlfn.XLOOKUP(Table2[[#This Row],[Country]],_xlfn.ANCHORARRAY($W$2),$X$2:$X$7)</f>
        <v>UK</v>
      </c>
    </row>
    <row r="131" spans="1:19" x14ac:dyDescent="0.25">
      <c r="A131" s="1">
        <v>2023</v>
      </c>
      <c r="B131" s="1" t="s">
        <v>36</v>
      </c>
      <c r="C131" s="1" t="s">
        <v>29</v>
      </c>
      <c r="D131" s="1" t="s">
        <v>30</v>
      </c>
      <c r="E131" s="1" t="s">
        <v>101</v>
      </c>
      <c r="F131" s="1" t="s">
        <v>78</v>
      </c>
      <c r="G131" s="1">
        <v>35</v>
      </c>
      <c r="H131" s="1" t="s">
        <v>33</v>
      </c>
      <c r="I131" s="1" t="s">
        <v>41</v>
      </c>
      <c r="J131" s="2">
        <v>45095</v>
      </c>
      <c r="K131" s="1" t="s">
        <v>68</v>
      </c>
      <c r="L131" s="1" t="s">
        <v>26</v>
      </c>
      <c r="M131" s="1">
        <v>27</v>
      </c>
      <c r="N131" s="1">
        <v>109</v>
      </c>
      <c r="O131" s="6">
        <v>76704</v>
      </c>
      <c r="P131" s="1" t="s">
        <v>50</v>
      </c>
      <c r="Q131" s="6">
        <f>Table2[[#This Row],[Room Booked]]*Table2[[#This Row],[Price]]</f>
        <v>2071008</v>
      </c>
      <c r="R131" s="6">
        <v>86702.7</v>
      </c>
      <c r="S131" t="str" cm="1">
        <f t="array" ref="S131">_xlfn.XLOOKUP(Table2[[#This Row],[Country]],_xlfn.ANCHORARRAY($W$2),$X$2:$X$7)</f>
        <v>UK</v>
      </c>
    </row>
    <row r="132" spans="1:19" x14ac:dyDescent="0.25">
      <c r="A132" s="1">
        <v>2022</v>
      </c>
      <c r="B132" s="1" t="s">
        <v>69</v>
      </c>
      <c r="C132" s="1" t="s">
        <v>29</v>
      </c>
      <c r="D132" s="1" t="s">
        <v>30</v>
      </c>
      <c r="E132" s="1" t="s">
        <v>101</v>
      </c>
      <c r="F132" s="1" t="s">
        <v>79</v>
      </c>
      <c r="G132" s="1">
        <v>20</v>
      </c>
      <c r="H132" s="1" t="s">
        <v>33</v>
      </c>
      <c r="I132" s="1" t="s">
        <v>24</v>
      </c>
      <c r="J132" s="2">
        <v>44866</v>
      </c>
      <c r="K132" s="1" t="s">
        <v>46</v>
      </c>
      <c r="L132" s="1" t="s">
        <v>34</v>
      </c>
      <c r="M132" s="1">
        <v>19</v>
      </c>
      <c r="N132" s="1">
        <v>125</v>
      </c>
      <c r="O132" s="6">
        <v>7364</v>
      </c>
      <c r="P132" s="1" t="s">
        <v>27</v>
      </c>
      <c r="Q132" s="6">
        <f>Table2[[#This Row],[Room Booked]]*Table2[[#This Row],[Price]]</f>
        <v>139916</v>
      </c>
      <c r="R132" s="6">
        <v>46393.2</v>
      </c>
      <c r="S132" t="str" cm="1">
        <f t="array" ref="S132">_xlfn.XLOOKUP(Table2[[#This Row],[Country]],_xlfn.ANCHORARRAY($W$2),$X$2:$X$7)</f>
        <v>UK</v>
      </c>
    </row>
    <row r="133" spans="1:19" x14ac:dyDescent="0.25">
      <c r="A133" s="1">
        <v>2022</v>
      </c>
      <c r="B133" s="1" t="s">
        <v>95</v>
      </c>
      <c r="C133" s="1" t="s">
        <v>19</v>
      </c>
      <c r="D133" s="1" t="s">
        <v>20</v>
      </c>
      <c r="E133" s="1" t="s">
        <v>21</v>
      </c>
      <c r="F133" s="1" t="s">
        <v>22</v>
      </c>
      <c r="G133" s="1">
        <v>37</v>
      </c>
      <c r="H133" s="1" t="s">
        <v>23</v>
      </c>
      <c r="I133" s="1" t="s">
        <v>24</v>
      </c>
      <c r="J133" s="2">
        <v>44601</v>
      </c>
      <c r="K133" s="1" t="s">
        <v>25</v>
      </c>
      <c r="L133" s="1" t="s">
        <v>26</v>
      </c>
      <c r="M133" s="1">
        <v>16</v>
      </c>
      <c r="N133" s="1">
        <v>99</v>
      </c>
      <c r="O133" s="6">
        <v>4867</v>
      </c>
      <c r="P133" s="1" t="s">
        <v>27</v>
      </c>
      <c r="Q133" s="6">
        <f>Table2[[#This Row],[Room Booked]]*Table2[[#This Row],[Price]]</f>
        <v>77872</v>
      </c>
      <c r="R133" s="6">
        <v>32122.199999999997</v>
      </c>
      <c r="S133" t="str" cm="1">
        <f t="array" ref="S133">_xlfn.XLOOKUP(Table2[[#This Row],[Country]],_xlfn.ANCHORARRAY($W$2),$X$2:$X$7)</f>
        <v>AUS</v>
      </c>
    </row>
    <row r="134" spans="1:19" x14ac:dyDescent="0.25">
      <c r="A134" s="1">
        <v>2022</v>
      </c>
      <c r="B134" s="1" t="s">
        <v>95</v>
      </c>
      <c r="C134" s="1" t="s">
        <v>59</v>
      </c>
      <c r="D134" s="1" t="s">
        <v>60</v>
      </c>
      <c r="E134" s="1" t="s">
        <v>61</v>
      </c>
      <c r="F134" s="1" t="s">
        <v>62</v>
      </c>
      <c r="G134" s="1">
        <v>46</v>
      </c>
      <c r="H134" s="1" t="s">
        <v>23</v>
      </c>
      <c r="I134" s="1" t="s">
        <v>41</v>
      </c>
      <c r="J134" s="2">
        <v>44607</v>
      </c>
      <c r="K134" s="1" t="s">
        <v>49</v>
      </c>
      <c r="L134" s="1" t="s">
        <v>34</v>
      </c>
      <c r="M134" s="1">
        <v>16</v>
      </c>
      <c r="N134" s="1">
        <v>99</v>
      </c>
      <c r="O134" s="6">
        <v>20104</v>
      </c>
      <c r="P134" s="1" t="s">
        <v>63</v>
      </c>
      <c r="Q134" s="6">
        <f>Table2[[#This Row],[Room Booked]]*Table2[[#This Row],[Price]]</f>
        <v>321664</v>
      </c>
      <c r="R134" s="6">
        <v>104549.4</v>
      </c>
      <c r="S134" t="str" cm="1">
        <f t="array" ref="S134">_xlfn.XLOOKUP(Table2[[#This Row],[Country]],_xlfn.ANCHORARRAY($W$2),$X$2:$X$7)</f>
        <v>USA</v>
      </c>
    </row>
    <row r="135" spans="1:19" x14ac:dyDescent="0.25">
      <c r="A135" s="1">
        <v>2022</v>
      </c>
      <c r="B135" s="1" t="s">
        <v>95</v>
      </c>
      <c r="C135" s="1" t="s">
        <v>70</v>
      </c>
      <c r="D135" s="1" t="s">
        <v>71</v>
      </c>
      <c r="E135" s="1" t="s">
        <v>72</v>
      </c>
      <c r="F135" s="1" t="s">
        <v>84</v>
      </c>
      <c r="G135" s="1">
        <v>21</v>
      </c>
      <c r="H135" s="1" t="s">
        <v>23</v>
      </c>
      <c r="I135" s="1" t="s">
        <v>24</v>
      </c>
      <c r="J135" s="2">
        <v>44617</v>
      </c>
      <c r="K135" s="1" t="s">
        <v>49</v>
      </c>
      <c r="L135" s="1" t="s">
        <v>26</v>
      </c>
      <c r="M135" s="1">
        <v>38</v>
      </c>
      <c r="N135" s="1">
        <v>92</v>
      </c>
      <c r="O135" s="6">
        <v>6456</v>
      </c>
      <c r="P135" s="1" t="s">
        <v>50</v>
      </c>
      <c r="Q135" s="6">
        <f>Table2[[#This Row],[Room Booked]]*Table2[[#This Row],[Price]]</f>
        <v>245328</v>
      </c>
      <c r="R135" s="6">
        <v>216755.1</v>
      </c>
      <c r="S135" t="str" cm="1">
        <f t="array" ref="S135">_xlfn.XLOOKUP(Table2[[#This Row],[Country]],_xlfn.ANCHORARRAY($W$2),$X$2:$X$7)</f>
        <v>UAE</v>
      </c>
    </row>
    <row r="136" spans="1:19" x14ac:dyDescent="0.25">
      <c r="A136" s="1">
        <v>2022</v>
      </c>
      <c r="B136" s="1" t="s">
        <v>95</v>
      </c>
      <c r="C136" s="1" t="s">
        <v>37</v>
      </c>
      <c r="D136" s="1" t="s">
        <v>38</v>
      </c>
      <c r="E136" s="1" t="s">
        <v>39</v>
      </c>
      <c r="F136" s="1" t="s">
        <v>54</v>
      </c>
      <c r="G136" s="1">
        <v>68</v>
      </c>
      <c r="H136" s="1" t="s">
        <v>33</v>
      </c>
      <c r="I136" s="1" t="s">
        <v>24</v>
      </c>
      <c r="J136" s="2">
        <v>44615</v>
      </c>
      <c r="K136" s="1" t="s">
        <v>80</v>
      </c>
      <c r="L136" s="1" t="s">
        <v>43</v>
      </c>
      <c r="M136" s="1">
        <v>76</v>
      </c>
      <c r="N136" s="1">
        <v>110</v>
      </c>
      <c r="O136" s="6">
        <v>161408</v>
      </c>
      <c r="P136" s="1" t="s">
        <v>27</v>
      </c>
      <c r="Q136" s="6">
        <f>Table2[[#This Row],[Room Booked]]*Table2[[#This Row],[Price]]</f>
        <v>12267008</v>
      </c>
      <c r="R136" s="6">
        <v>43882.799999999996</v>
      </c>
      <c r="S136" t="str" cm="1">
        <f t="array" ref="S136">_xlfn.XLOOKUP(Table2[[#This Row],[Country]],_xlfn.ANCHORARRAY($W$2),$X$2:$X$7)</f>
        <v>IND</v>
      </c>
    </row>
    <row r="137" spans="1:19" x14ac:dyDescent="0.25">
      <c r="A137" s="1">
        <v>2022</v>
      </c>
      <c r="B137" s="1" t="s">
        <v>95</v>
      </c>
      <c r="C137" s="1" t="s">
        <v>37</v>
      </c>
      <c r="D137" s="1" t="s">
        <v>38</v>
      </c>
      <c r="E137" s="1" t="s">
        <v>96</v>
      </c>
      <c r="F137" s="1" t="s">
        <v>83</v>
      </c>
      <c r="G137" s="1">
        <v>49</v>
      </c>
      <c r="H137" s="1" t="s">
        <v>33</v>
      </c>
      <c r="I137" s="1" t="s">
        <v>24</v>
      </c>
      <c r="J137" s="2">
        <v>44615</v>
      </c>
      <c r="K137" s="1" t="s">
        <v>80</v>
      </c>
      <c r="L137" s="1" t="s">
        <v>43</v>
      </c>
      <c r="M137" s="1">
        <v>37</v>
      </c>
      <c r="N137" s="1">
        <v>110</v>
      </c>
      <c r="O137" s="6">
        <v>161408</v>
      </c>
      <c r="P137" s="1" t="s">
        <v>27</v>
      </c>
      <c r="Q137" s="6">
        <f>Table2[[#This Row],[Room Booked]]*Table2[[#This Row],[Price]]</f>
        <v>5972096</v>
      </c>
      <c r="R137" s="6">
        <v>43882.799999999996</v>
      </c>
      <c r="S137" t="str" cm="1">
        <f t="array" ref="S137">_xlfn.XLOOKUP(Table2[[#This Row],[Country]],_xlfn.ANCHORARRAY($W$2),$X$2:$X$7)</f>
        <v>IND</v>
      </c>
    </row>
    <row r="138" spans="1:19" x14ac:dyDescent="0.25">
      <c r="A138" s="1">
        <v>2022</v>
      </c>
      <c r="B138" s="1" t="s">
        <v>95</v>
      </c>
      <c r="C138" s="1" t="s">
        <v>59</v>
      </c>
      <c r="D138" s="1" t="s">
        <v>92</v>
      </c>
      <c r="E138" s="1" t="s">
        <v>98</v>
      </c>
      <c r="F138" s="1" t="s">
        <v>64</v>
      </c>
      <c r="G138" s="1">
        <v>46</v>
      </c>
      <c r="H138" s="1" t="s">
        <v>23</v>
      </c>
      <c r="I138" s="1" t="s">
        <v>24</v>
      </c>
      <c r="J138" s="2">
        <v>44607</v>
      </c>
      <c r="K138" s="1" t="s">
        <v>49</v>
      </c>
      <c r="L138" s="1" t="s">
        <v>34</v>
      </c>
      <c r="M138" s="1">
        <v>16</v>
      </c>
      <c r="N138" s="1">
        <v>99</v>
      </c>
      <c r="O138" s="6">
        <v>220104</v>
      </c>
      <c r="P138" s="1" t="s">
        <v>63</v>
      </c>
      <c r="Q138" s="6">
        <f>Table2[[#This Row],[Room Booked]]*Table2[[#This Row],[Price]]</f>
        <v>3521664</v>
      </c>
      <c r="R138" s="6">
        <v>104549.4</v>
      </c>
      <c r="S138" t="str" cm="1">
        <f t="array" ref="S138">_xlfn.XLOOKUP(Table2[[#This Row],[Country]],_xlfn.ANCHORARRAY($W$2),$X$2:$X$7)</f>
        <v>ITA</v>
      </c>
    </row>
    <row r="139" spans="1:19" x14ac:dyDescent="0.25">
      <c r="A139" s="1">
        <v>2022</v>
      </c>
      <c r="B139" s="1" t="s">
        <v>95</v>
      </c>
      <c r="C139" s="1" t="s">
        <v>59</v>
      </c>
      <c r="D139" s="1" t="s">
        <v>60</v>
      </c>
      <c r="E139" s="1" t="s">
        <v>99</v>
      </c>
      <c r="F139" s="1" t="s">
        <v>81</v>
      </c>
      <c r="G139" s="1">
        <v>46</v>
      </c>
      <c r="H139" s="1" t="s">
        <v>23</v>
      </c>
      <c r="I139" s="1" t="s">
        <v>41</v>
      </c>
      <c r="J139" s="2">
        <v>44607</v>
      </c>
      <c r="K139" s="1" t="s">
        <v>49</v>
      </c>
      <c r="L139" s="1" t="s">
        <v>34</v>
      </c>
      <c r="M139" s="1">
        <v>8</v>
      </c>
      <c r="N139" s="1">
        <v>99</v>
      </c>
      <c r="O139" s="6">
        <v>220104</v>
      </c>
      <c r="P139" s="1" t="s">
        <v>63</v>
      </c>
      <c r="Q139" s="6">
        <f>Table2[[#This Row],[Room Booked]]*Table2[[#This Row],[Price]]</f>
        <v>1760832</v>
      </c>
      <c r="R139" s="6">
        <v>104549.4</v>
      </c>
      <c r="S139" t="str" cm="1">
        <f t="array" ref="S139">_xlfn.XLOOKUP(Table2[[#This Row],[Country]],_xlfn.ANCHORARRAY($W$2),$X$2:$X$7)</f>
        <v>USA</v>
      </c>
    </row>
    <row r="140" spans="1:19" x14ac:dyDescent="0.25">
      <c r="A140" s="1">
        <v>2022</v>
      </c>
      <c r="B140" s="1" t="s">
        <v>95</v>
      </c>
      <c r="C140" s="1" t="s">
        <v>59</v>
      </c>
      <c r="D140" s="1" t="s">
        <v>60</v>
      </c>
      <c r="E140" s="1" t="s">
        <v>100</v>
      </c>
      <c r="F140" s="1" t="s">
        <v>88</v>
      </c>
      <c r="G140" s="1">
        <v>46</v>
      </c>
      <c r="H140" s="1" t="s">
        <v>23</v>
      </c>
      <c r="I140" s="1" t="s">
        <v>41</v>
      </c>
      <c r="J140" s="2">
        <v>44607</v>
      </c>
      <c r="K140" s="1" t="s">
        <v>49</v>
      </c>
      <c r="L140" s="1" t="s">
        <v>34</v>
      </c>
      <c r="M140" s="1">
        <v>16</v>
      </c>
      <c r="N140" s="1">
        <v>99</v>
      </c>
      <c r="O140" s="6">
        <v>220104</v>
      </c>
      <c r="P140" s="1" t="s">
        <v>63</v>
      </c>
      <c r="Q140" s="6">
        <f>Table2[[#This Row],[Room Booked]]*Table2[[#This Row],[Price]]</f>
        <v>3521664</v>
      </c>
      <c r="R140" s="6">
        <v>104549.4</v>
      </c>
      <c r="S140" t="str" cm="1">
        <f t="array" ref="S140">_xlfn.XLOOKUP(Table2[[#This Row],[Country]],_xlfn.ANCHORARRAY($W$2),$X$2:$X$7)</f>
        <v>USA</v>
      </c>
    </row>
    <row r="141" spans="1:19" x14ac:dyDescent="0.25">
      <c r="A141" s="1">
        <v>2022</v>
      </c>
      <c r="B141" s="1" t="s">
        <v>95</v>
      </c>
      <c r="C141" s="1" t="s">
        <v>59</v>
      </c>
      <c r="D141" s="1" t="s">
        <v>60</v>
      </c>
      <c r="E141" s="1" t="s">
        <v>100</v>
      </c>
      <c r="F141" s="1" t="s">
        <v>45</v>
      </c>
      <c r="G141" s="1">
        <v>46</v>
      </c>
      <c r="H141" s="1" t="s">
        <v>23</v>
      </c>
      <c r="I141" s="1" t="s">
        <v>24</v>
      </c>
      <c r="J141" s="2">
        <v>44607</v>
      </c>
      <c r="K141" s="1" t="s">
        <v>49</v>
      </c>
      <c r="L141" s="1" t="s">
        <v>34</v>
      </c>
      <c r="M141" s="1">
        <v>16</v>
      </c>
      <c r="N141" s="1">
        <v>99</v>
      </c>
      <c r="O141" s="6">
        <v>220104</v>
      </c>
      <c r="P141" s="1" t="s">
        <v>63</v>
      </c>
      <c r="Q141" s="6">
        <f>Table2[[#This Row],[Room Booked]]*Table2[[#This Row],[Price]]</f>
        <v>3521664</v>
      </c>
      <c r="R141" s="6">
        <v>104549.4</v>
      </c>
      <c r="S141" t="str" cm="1">
        <f t="array" ref="S141">_xlfn.XLOOKUP(Table2[[#This Row],[Country]],_xlfn.ANCHORARRAY($W$2),$X$2:$X$7)</f>
        <v>USA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9AAA6-3B09-44C2-A4E1-25AC41A2027E}">
  <dimension ref="A1:AN34"/>
  <sheetViews>
    <sheetView showGridLines="0" workbookViewId="0">
      <selection activeCell="E7" sqref="E7"/>
    </sheetView>
  </sheetViews>
  <sheetFormatPr defaultRowHeight="15" x14ac:dyDescent="0.25"/>
  <cols>
    <col min="1" max="1" width="22" bestFit="1" customWidth="1"/>
    <col min="2" max="2" width="20.42578125" bestFit="1" customWidth="1"/>
    <col min="3" max="3" width="16.7109375" bestFit="1" customWidth="1"/>
    <col min="4" max="4" width="2.42578125" style="9" customWidth="1"/>
    <col min="5" max="5" width="14.28515625" bestFit="1" customWidth="1"/>
    <col min="6" max="6" width="20.28515625" bestFit="1" customWidth="1"/>
    <col min="7" max="7" width="4" customWidth="1"/>
    <col min="8" max="8" width="14.28515625" bestFit="1" customWidth="1"/>
    <col min="9" max="9" width="22" bestFit="1" customWidth="1"/>
    <col min="10" max="10" width="5.140625" customWidth="1"/>
    <col min="11" max="11" width="14.28515625" bestFit="1" customWidth="1"/>
    <col min="12" max="12" width="20.42578125" bestFit="1" customWidth="1"/>
    <col min="14" max="14" width="2.42578125" style="9" customWidth="1"/>
    <col min="15" max="15" width="13.42578125" bestFit="1" customWidth="1"/>
    <col min="16" max="16" width="20.85546875" bestFit="1" customWidth="1"/>
    <col min="17" max="17" width="12.7109375" bestFit="1" customWidth="1"/>
    <col min="19" max="19" width="2.42578125" style="9" customWidth="1"/>
    <col min="20" max="20" width="13.42578125" bestFit="1" customWidth="1"/>
    <col min="21" max="21" width="22" bestFit="1" customWidth="1"/>
    <col min="22" max="22" width="7.140625" customWidth="1"/>
    <col min="23" max="23" width="2.42578125" style="9" customWidth="1"/>
    <col min="24" max="24" width="13.42578125" bestFit="1" customWidth="1"/>
    <col min="25" max="25" width="20.42578125" bestFit="1" customWidth="1"/>
    <col min="26" max="26" width="9.140625" customWidth="1"/>
    <col min="27" max="27" width="2.42578125" style="9" customWidth="1"/>
    <col min="28" max="28" width="13.42578125" bestFit="1" customWidth="1"/>
    <col min="29" max="29" width="22" bestFit="1" customWidth="1"/>
    <col min="31" max="31" width="2.42578125" style="9" customWidth="1"/>
    <col min="32" max="32" width="13.42578125" bestFit="1" customWidth="1"/>
    <col min="33" max="33" width="21" bestFit="1" customWidth="1"/>
    <col min="34" max="34" width="22.140625" bestFit="1" customWidth="1"/>
    <col min="36" max="36" width="2.42578125" style="9" customWidth="1"/>
    <col min="37" max="37" width="14.42578125" bestFit="1" customWidth="1"/>
    <col min="38" max="38" width="20.42578125" bestFit="1" customWidth="1"/>
    <col min="39" max="39" width="22" bestFit="1" customWidth="1"/>
    <col min="40" max="40" width="2.42578125" style="9" customWidth="1"/>
  </cols>
  <sheetData>
    <row r="1" spans="1:39" ht="15" customHeight="1" x14ac:dyDescent="0.25">
      <c r="A1" s="15" t="s">
        <v>121</v>
      </c>
      <c r="B1" s="15"/>
      <c r="C1" s="15"/>
      <c r="E1" s="17" t="s">
        <v>108</v>
      </c>
      <c r="F1" s="17"/>
      <c r="G1" s="17"/>
      <c r="H1" s="17"/>
      <c r="I1" s="17"/>
      <c r="J1" s="17"/>
      <c r="K1" s="17"/>
      <c r="L1" s="17"/>
      <c r="M1" s="17"/>
      <c r="O1" s="15" t="s">
        <v>1</v>
      </c>
      <c r="P1" s="15"/>
      <c r="Q1" s="15"/>
      <c r="R1" s="15"/>
      <c r="T1" s="15" t="s">
        <v>4</v>
      </c>
      <c r="U1" s="15"/>
      <c r="V1" s="15"/>
      <c r="X1" s="15" t="s">
        <v>3</v>
      </c>
      <c r="Y1" s="15"/>
      <c r="Z1" s="15"/>
      <c r="AB1" s="15" t="s">
        <v>113</v>
      </c>
      <c r="AC1" s="15"/>
      <c r="AD1" s="15"/>
      <c r="AF1" s="15" t="s">
        <v>116</v>
      </c>
      <c r="AG1" s="15"/>
      <c r="AH1" s="15"/>
      <c r="AI1" s="15"/>
      <c r="AK1" s="15" t="s">
        <v>10</v>
      </c>
      <c r="AL1" s="15"/>
      <c r="AM1" s="15"/>
    </row>
    <row r="2" spans="1:39" ht="15" customHeight="1" x14ac:dyDescent="0.25">
      <c r="A2" s="15"/>
      <c r="B2" s="15"/>
      <c r="C2" s="15"/>
      <c r="E2" s="17"/>
      <c r="F2" s="17"/>
      <c r="G2" s="17"/>
      <c r="H2" s="17"/>
      <c r="I2" s="17"/>
      <c r="J2" s="17"/>
      <c r="K2" s="17"/>
      <c r="L2" s="17"/>
      <c r="M2" s="17"/>
      <c r="O2" s="15"/>
      <c r="P2" s="15"/>
      <c r="Q2" s="15"/>
      <c r="R2" s="15"/>
      <c r="T2" s="15"/>
      <c r="U2" s="15"/>
      <c r="V2" s="15"/>
      <c r="X2" s="15"/>
      <c r="Y2" s="15"/>
      <c r="Z2" s="15"/>
      <c r="AB2" s="15"/>
      <c r="AC2" s="15"/>
      <c r="AD2" s="15"/>
      <c r="AF2" s="15"/>
      <c r="AG2" s="15"/>
      <c r="AH2" s="15"/>
      <c r="AI2" s="15"/>
      <c r="AK2" s="15"/>
      <c r="AL2" s="15"/>
      <c r="AM2" s="15"/>
    </row>
    <row r="4" spans="1:39" ht="19.5" thickBot="1" x14ac:dyDescent="0.35">
      <c r="A4" t="s">
        <v>122</v>
      </c>
      <c r="B4" t="s">
        <v>123</v>
      </c>
      <c r="E4" s="16" t="s">
        <v>106</v>
      </c>
      <c r="F4" s="16"/>
      <c r="H4" s="16" t="s">
        <v>106</v>
      </c>
      <c r="I4" s="16"/>
      <c r="K4" s="16" t="s">
        <v>107</v>
      </c>
      <c r="L4" s="16"/>
      <c r="O4" s="16" t="s">
        <v>111</v>
      </c>
      <c r="P4" s="16"/>
      <c r="Q4" s="16"/>
      <c r="T4" s="16" t="s">
        <v>112</v>
      </c>
      <c r="U4" s="16"/>
      <c r="X4" s="16" t="s">
        <v>114</v>
      </c>
      <c r="Y4" s="16"/>
      <c r="AB4" s="16" t="s">
        <v>112</v>
      </c>
      <c r="AC4" s="16"/>
      <c r="AF4" s="16" t="s">
        <v>8</v>
      </c>
      <c r="AG4" s="16"/>
      <c r="AH4" s="16"/>
      <c r="AK4" s="16" t="s">
        <v>118</v>
      </c>
      <c r="AL4" s="16"/>
      <c r="AM4" s="16"/>
    </row>
    <row r="5" spans="1:39" x14ac:dyDescent="0.25">
      <c r="A5" s="8">
        <v>140</v>
      </c>
      <c r="B5">
        <f>_xlfn.LET(_xlpm.x,_xlfn.UNIQUE(Table2[[Hotel Name]:[City]]),COUNTA(_xlfn.CHOOSECOLS(_xlpm.x,1)))</f>
        <v>33</v>
      </c>
    </row>
    <row r="6" spans="1:39" x14ac:dyDescent="0.25">
      <c r="E6" s="10" t="s">
        <v>102</v>
      </c>
      <c r="F6" t="s">
        <v>103</v>
      </c>
      <c r="H6" s="10" t="s">
        <v>102</v>
      </c>
      <c r="I6" t="s">
        <v>105</v>
      </c>
      <c r="K6" s="10" t="s">
        <v>102</v>
      </c>
      <c r="L6" t="s">
        <v>104</v>
      </c>
      <c r="O6" s="10" t="s">
        <v>102</v>
      </c>
      <c r="P6" t="s">
        <v>109</v>
      </c>
      <c r="Q6" t="s">
        <v>110</v>
      </c>
      <c r="T6" s="10" t="s">
        <v>102</v>
      </c>
      <c r="U6" t="s">
        <v>105</v>
      </c>
      <c r="X6" s="10" t="s">
        <v>102</v>
      </c>
      <c r="Y6" t="s">
        <v>104</v>
      </c>
      <c r="AB6" s="10" t="s">
        <v>102</v>
      </c>
      <c r="AC6" t="s">
        <v>105</v>
      </c>
      <c r="AF6" s="10" t="s">
        <v>102</v>
      </c>
      <c r="AG6" t="s">
        <v>115</v>
      </c>
      <c r="AH6" t="s">
        <v>117</v>
      </c>
      <c r="AK6" s="10" t="s">
        <v>102</v>
      </c>
      <c r="AL6" t="s">
        <v>104</v>
      </c>
      <c r="AM6" t="s">
        <v>105</v>
      </c>
    </row>
    <row r="7" spans="1:39" x14ac:dyDescent="0.25">
      <c r="A7" t="s">
        <v>119</v>
      </c>
      <c r="B7" t="s">
        <v>120</v>
      </c>
      <c r="E7" s="11" t="s">
        <v>59</v>
      </c>
      <c r="F7" s="8">
        <v>20</v>
      </c>
      <c r="H7" s="11" t="s">
        <v>59</v>
      </c>
      <c r="I7" s="8">
        <v>2093</v>
      </c>
      <c r="K7" s="11" t="s">
        <v>37</v>
      </c>
      <c r="L7" s="8">
        <v>1004</v>
      </c>
      <c r="O7" s="11" t="s">
        <v>18</v>
      </c>
      <c r="P7" s="12">
        <v>33529395</v>
      </c>
      <c r="Q7" s="12">
        <v>1108296.3</v>
      </c>
      <c r="T7" s="11" t="s">
        <v>72</v>
      </c>
      <c r="U7" s="8">
        <v>1902</v>
      </c>
      <c r="X7" s="11" t="s">
        <v>124</v>
      </c>
      <c r="Y7" s="8">
        <v>753</v>
      </c>
      <c r="AB7" s="11" t="s">
        <v>22</v>
      </c>
      <c r="AC7" s="8">
        <v>629</v>
      </c>
      <c r="AF7" s="11" t="s">
        <v>24</v>
      </c>
      <c r="AG7" s="8">
        <v>95</v>
      </c>
      <c r="AH7" s="13">
        <v>0.6785714285714286</v>
      </c>
      <c r="AK7" s="11" t="s">
        <v>49</v>
      </c>
      <c r="AL7" s="8">
        <v>850</v>
      </c>
      <c r="AM7" s="8">
        <v>3523</v>
      </c>
    </row>
    <row r="8" spans="1:39" x14ac:dyDescent="0.25">
      <c r="A8">
        <f>COUNTA(_xlfn.UNIQUE(Table2[Country]))</f>
        <v>6</v>
      </c>
      <c r="B8">
        <f>COUNTA(_xlfn.UNIQUE(Table2[City]))</f>
        <v>12</v>
      </c>
      <c r="E8" s="11" t="s">
        <v>29</v>
      </c>
      <c r="F8" s="8">
        <v>19</v>
      </c>
      <c r="H8" s="11" t="s">
        <v>29</v>
      </c>
      <c r="I8" s="8">
        <v>2120</v>
      </c>
      <c r="K8" s="11" t="s">
        <v>29</v>
      </c>
      <c r="L8" s="8">
        <v>622</v>
      </c>
      <c r="O8" s="11" t="s">
        <v>95</v>
      </c>
      <c r="P8" s="12">
        <v>34322928</v>
      </c>
      <c r="Q8" s="12">
        <v>953682.00000000012</v>
      </c>
      <c r="T8" s="11" t="s">
        <v>96</v>
      </c>
      <c r="U8" s="8">
        <v>1112</v>
      </c>
      <c r="X8" s="11" t="s">
        <v>125</v>
      </c>
      <c r="Y8" s="8">
        <v>889</v>
      </c>
      <c r="AB8" s="11" t="s">
        <v>32</v>
      </c>
      <c r="AC8" s="8">
        <v>524</v>
      </c>
      <c r="AF8" s="11" t="s">
        <v>41</v>
      </c>
      <c r="AG8" s="8">
        <v>45</v>
      </c>
      <c r="AH8" s="13">
        <v>0.32142857142857145</v>
      </c>
      <c r="AK8" s="11" t="s">
        <v>68</v>
      </c>
      <c r="AL8" s="8">
        <v>456</v>
      </c>
      <c r="AM8" s="8">
        <v>2163</v>
      </c>
    </row>
    <row r="9" spans="1:39" x14ac:dyDescent="0.25">
      <c r="E9" s="11" t="s">
        <v>94</v>
      </c>
      <c r="F9" s="8">
        <v>16</v>
      </c>
      <c r="H9" s="11" t="s">
        <v>94</v>
      </c>
      <c r="I9" s="8">
        <v>1676</v>
      </c>
      <c r="K9" s="11" t="s">
        <v>87</v>
      </c>
      <c r="L9" s="8">
        <v>425</v>
      </c>
      <c r="O9" s="11" t="s">
        <v>53</v>
      </c>
      <c r="P9" s="12">
        <v>5607723</v>
      </c>
      <c r="Q9" s="12">
        <v>537684.29999999993</v>
      </c>
      <c r="T9" s="11" t="s">
        <v>101</v>
      </c>
      <c r="U9" s="8">
        <v>1132</v>
      </c>
      <c r="X9" s="11" t="s">
        <v>126</v>
      </c>
      <c r="Y9" s="8">
        <v>352</v>
      </c>
      <c r="AB9" s="11" t="s">
        <v>40</v>
      </c>
      <c r="AC9" s="8">
        <v>564</v>
      </c>
      <c r="AK9" s="11" t="s">
        <v>46</v>
      </c>
      <c r="AL9" s="8">
        <v>412</v>
      </c>
      <c r="AM9" s="8">
        <v>2154</v>
      </c>
    </row>
    <row r="10" spans="1:39" x14ac:dyDescent="0.25">
      <c r="A10" t="s">
        <v>109</v>
      </c>
      <c r="B10" t="s">
        <v>110</v>
      </c>
      <c r="E10" s="11" t="s">
        <v>91</v>
      </c>
      <c r="F10" s="8">
        <v>6</v>
      </c>
      <c r="H10" s="11" t="s">
        <v>91</v>
      </c>
      <c r="I10" s="8">
        <v>589</v>
      </c>
      <c r="K10" s="11" t="s">
        <v>19</v>
      </c>
      <c r="L10" s="8">
        <v>361</v>
      </c>
      <c r="O10" s="11" t="s">
        <v>28</v>
      </c>
      <c r="P10" s="12">
        <v>7981312</v>
      </c>
      <c r="Q10" s="12">
        <v>413129.4</v>
      </c>
      <c r="T10" s="11" t="s">
        <v>100</v>
      </c>
      <c r="U10" s="8">
        <v>1504</v>
      </c>
      <c r="X10" s="11" t="s">
        <v>129</v>
      </c>
      <c r="Y10" s="8">
        <v>421</v>
      </c>
      <c r="AB10" s="11" t="s">
        <v>45</v>
      </c>
      <c r="AC10" s="8">
        <v>576</v>
      </c>
      <c r="AK10" s="11" t="s">
        <v>25</v>
      </c>
      <c r="AL10" s="8">
        <v>397</v>
      </c>
      <c r="AM10" s="8">
        <v>2079</v>
      </c>
    </row>
    <row r="11" spans="1:39" x14ac:dyDescent="0.25">
      <c r="A11" s="14">
        <v>216239836</v>
      </c>
      <c r="B11" s="14">
        <v>11053891.5</v>
      </c>
      <c r="E11" s="11" t="s">
        <v>37</v>
      </c>
      <c r="F11" s="8">
        <v>31</v>
      </c>
      <c r="H11" s="11" t="s">
        <v>37</v>
      </c>
      <c r="I11" s="8">
        <v>3348</v>
      </c>
      <c r="K11" s="11" t="s">
        <v>94</v>
      </c>
      <c r="L11" s="8">
        <v>320</v>
      </c>
      <c r="O11" s="11" t="s">
        <v>57</v>
      </c>
      <c r="P11" s="12">
        <v>29851647</v>
      </c>
      <c r="Q11" s="12">
        <v>916020.29999999993</v>
      </c>
      <c r="T11" s="11" t="s">
        <v>31</v>
      </c>
      <c r="U11" s="8">
        <v>566</v>
      </c>
      <c r="X11" s="11" t="s">
        <v>127</v>
      </c>
      <c r="Y11" s="8">
        <v>471</v>
      </c>
      <c r="AB11" s="11" t="s">
        <v>48</v>
      </c>
      <c r="AC11" s="8">
        <v>531</v>
      </c>
      <c r="AK11" s="11" t="s">
        <v>65</v>
      </c>
      <c r="AL11" s="8">
        <v>413</v>
      </c>
      <c r="AM11" s="8">
        <v>1951</v>
      </c>
    </row>
    <row r="12" spans="1:39" x14ac:dyDescent="0.25">
      <c r="E12" s="11" t="s">
        <v>19</v>
      </c>
      <c r="F12" s="8">
        <v>20</v>
      </c>
      <c r="H12" s="11" t="s">
        <v>19</v>
      </c>
      <c r="I12" s="8">
        <v>2100</v>
      </c>
      <c r="K12" s="11" t="s">
        <v>70</v>
      </c>
      <c r="L12" s="8">
        <v>256</v>
      </c>
      <c r="O12" s="11" t="s">
        <v>36</v>
      </c>
      <c r="P12" s="12">
        <v>20920260</v>
      </c>
      <c r="Q12" s="12">
        <v>1321515.5999999999</v>
      </c>
      <c r="T12" s="11" t="s">
        <v>99</v>
      </c>
      <c r="U12" s="8">
        <v>752</v>
      </c>
      <c r="X12" s="11" t="s">
        <v>128</v>
      </c>
      <c r="Y12" s="8">
        <v>484</v>
      </c>
      <c r="AB12" s="11" t="s">
        <v>52</v>
      </c>
      <c r="AC12" s="8">
        <v>535</v>
      </c>
      <c r="AK12" s="11" t="s">
        <v>42</v>
      </c>
      <c r="AL12" s="8">
        <v>504</v>
      </c>
      <c r="AM12" s="8">
        <v>1902</v>
      </c>
    </row>
    <row r="13" spans="1:39" x14ac:dyDescent="0.25">
      <c r="A13" t="s">
        <v>105</v>
      </c>
      <c r="B13" t="s">
        <v>104</v>
      </c>
      <c r="E13" s="11" t="s">
        <v>70</v>
      </c>
      <c r="F13" s="8">
        <v>10</v>
      </c>
      <c r="H13" s="11" t="s">
        <v>70</v>
      </c>
      <c r="I13" s="8">
        <v>998</v>
      </c>
      <c r="K13" s="11" t="s">
        <v>59</v>
      </c>
      <c r="L13" s="8">
        <v>250</v>
      </c>
      <c r="O13" s="11" t="s">
        <v>76</v>
      </c>
      <c r="P13" s="12">
        <v>4712208</v>
      </c>
      <c r="Q13" s="12">
        <v>369928.80000000005</v>
      </c>
      <c r="T13" s="11" t="s">
        <v>97</v>
      </c>
      <c r="U13" s="8">
        <v>1270</v>
      </c>
      <c r="AB13" s="11" t="s">
        <v>54</v>
      </c>
      <c r="AC13" s="8">
        <v>638</v>
      </c>
      <c r="AF13" t="str" cm="1">
        <f t="array" ref="AF13:AF14">AF7:AF8</f>
        <v>Existing</v>
      </c>
      <c r="AG13" s="13" cm="1">
        <f t="array" ref="AG13:AG14">AH7:AH8</f>
        <v>0.6785714285714286</v>
      </c>
      <c r="AK13" s="11" t="s">
        <v>80</v>
      </c>
      <c r="AL13" s="8">
        <v>338</v>
      </c>
      <c r="AM13" s="8">
        <v>916</v>
      </c>
    </row>
    <row r="14" spans="1:39" x14ac:dyDescent="0.25">
      <c r="A14" s="8">
        <v>14688</v>
      </c>
      <c r="B14" s="8">
        <v>3370</v>
      </c>
      <c r="E14" s="11" t="s">
        <v>87</v>
      </c>
      <c r="F14" s="8">
        <v>18</v>
      </c>
      <c r="H14" s="11" t="s">
        <v>87</v>
      </c>
      <c r="I14" s="8">
        <v>1764</v>
      </c>
      <c r="K14" s="11" t="s">
        <v>91</v>
      </c>
      <c r="L14" s="8">
        <v>132</v>
      </c>
      <c r="O14" s="11" t="s">
        <v>55</v>
      </c>
      <c r="P14" s="12">
        <v>21075835</v>
      </c>
      <c r="Q14" s="12">
        <v>1392664.1999999997</v>
      </c>
      <c r="T14" s="11" t="s">
        <v>98</v>
      </c>
      <c r="U14" s="8">
        <v>1352</v>
      </c>
      <c r="AB14" s="11" t="s">
        <v>56</v>
      </c>
      <c r="AC14" s="8">
        <v>499</v>
      </c>
      <c r="AF14" t="str">
        <v>New</v>
      </c>
      <c r="AG14" s="13">
        <v>0.32142857142857145</v>
      </c>
    </row>
    <row r="15" spans="1:39" x14ac:dyDescent="0.25">
      <c r="O15" s="11" t="s">
        <v>51</v>
      </c>
      <c r="P15" s="12">
        <v>14042463</v>
      </c>
      <c r="Q15" s="12">
        <v>809486.10000000009</v>
      </c>
      <c r="T15" s="11" t="s">
        <v>39</v>
      </c>
      <c r="U15" s="8">
        <v>1683</v>
      </c>
      <c r="AB15" s="11" t="s">
        <v>58</v>
      </c>
      <c r="AC15" s="8">
        <v>519</v>
      </c>
    </row>
    <row r="16" spans="1:39" x14ac:dyDescent="0.25">
      <c r="O16" s="11" t="s">
        <v>44</v>
      </c>
      <c r="P16" s="12">
        <v>5119545</v>
      </c>
      <c r="Q16" s="12">
        <v>819174.29999999993</v>
      </c>
      <c r="T16" s="11" t="s">
        <v>61</v>
      </c>
      <c r="U16" s="8">
        <v>752</v>
      </c>
      <c r="AB16" s="11" t="s">
        <v>62</v>
      </c>
      <c r="AC16" s="8">
        <v>613</v>
      </c>
    </row>
    <row r="17" spans="11:29" x14ac:dyDescent="0.25">
      <c r="O17" s="11" t="s">
        <v>69</v>
      </c>
      <c r="P17" s="12">
        <v>2623788</v>
      </c>
      <c r="Q17" s="12">
        <v>766944.6</v>
      </c>
      <c r="T17" s="11" t="s">
        <v>93</v>
      </c>
      <c r="U17" s="8">
        <v>191</v>
      </c>
      <c r="AB17" s="11" t="s">
        <v>64</v>
      </c>
      <c r="AC17" s="8">
        <v>670</v>
      </c>
    </row>
    <row r="18" spans="11:29" x14ac:dyDescent="0.25">
      <c r="O18" s="11" t="s">
        <v>47</v>
      </c>
      <c r="P18" s="12">
        <v>36452732</v>
      </c>
      <c r="Q18" s="12">
        <v>1645365.6</v>
      </c>
      <c r="T18" s="11" t="s">
        <v>21</v>
      </c>
      <c r="U18" s="8">
        <v>2472</v>
      </c>
      <c r="AB18" s="11" t="s">
        <v>66</v>
      </c>
      <c r="AC18" s="8">
        <v>470</v>
      </c>
    </row>
    <row r="19" spans="11:29" x14ac:dyDescent="0.25">
      <c r="AB19" s="11" t="s">
        <v>67</v>
      </c>
      <c r="AC19" s="8">
        <v>491</v>
      </c>
    </row>
    <row r="20" spans="11:29" x14ac:dyDescent="0.25">
      <c r="K20" t="str" cm="1">
        <f t="array" ref="K20:L27">K7:L14</f>
        <v>Marine Resort</v>
      </c>
      <c r="L20">
        <v>1004</v>
      </c>
      <c r="O20" t="str" cm="1">
        <f t="array" ref="O20:O31">O7:O18</f>
        <v>Jan</v>
      </c>
      <c r="P20" s="12" cm="1">
        <f t="array" ref="P20:P31">Q7:Q18</f>
        <v>1108296.3</v>
      </c>
      <c r="Q20" s="12"/>
      <c r="T20" t="str" cm="1">
        <f t="array" ref="T20:U31">T7:U18</f>
        <v>Abu Dhabi</v>
      </c>
      <c r="U20">
        <v>1902</v>
      </c>
      <c r="AB20" s="11" t="s">
        <v>73</v>
      </c>
      <c r="AC20" s="8">
        <v>526</v>
      </c>
    </row>
    <row r="21" spans="11:29" x14ac:dyDescent="0.25">
      <c r="K21" t="str">
        <v>Hames Palace</v>
      </c>
      <c r="L21">
        <v>622</v>
      </c>
      <c r="O21" t="str">
        <v>Feb</v>
      </c>
      <c r="P21" s="12">
        <v>953682.00000000012</v>
      </c>
      <c r="Q21" s="12"/>
      <c r="T21" t="str">
        <v>Bangalore</v>
      </c>
      <c r="U21">
        <v>1112</v>
      </c>
      <c r="AB21" s="11" t="s">
        <v>74</v>
      </c>
      <c r="AC21" s="8">
        <v>527</v>
      </c>
    </row>
    <row r="22" spans="11:29" x14ac:dyDescent="0.25">
      <c r="K22" t="str">
        <v>View Hotel</v>
      </c>
      <c r="L22">
        <v>425</v>
      </c>
      <c r="O22" t="str">
        <v>Mar</v>
      </c>
      <c r="P22" s="12">
        <v>537684.29999999993</v>
      </c>
      <c r="Q22" s="12"/>
      <c r="T22" t="str">
        <v>Birmingham</v>
      </c>
      <c r="U22">
        <v>1132</v>
      </c>
      <c r="AB22" s="11" t="s">
        <v>75</v>
      </c>
      <c r="AC22" s="8">
        <v>564</v>
      </c>
    </row>
    <row r="23" spans="11:29" x14ac:dyDescent="0.25">
      <c r="K23" t="str">
        <v>Opera House</v>
      </c>
      <c r="L23">
        <v>361</v>
      </c>
      <c r="O23" t="str">
        <v>Apr</v>
      </c>
      <c r="P23" s="12">
        <v>413129.4</v>
      </c>
      <c r="Q23" s="12"/>
      <c r="T23" t="str">
        <v>Chicago</v>
      </c>
      <c r="U23">
        <v>1504</v>
      </c>
      <c r="AB23" s="11" t="s">
        <v>77</v>
      </c>
      <c r="AC23" s="8">
        <v>520</v>
      </c>
    </row>
    <row r="24" spans="11:29" x14ac:dyDescent="0.25">
      <c r="K24" t="str">
        <v>Hotel Sunshine</v>
      </c>
      <c r="L24">
        <v>320</v>
      </c>
      <c r="O24" t="str">
        <v>May</v>
      </c>
      <c r="P24" s="12">
        <v>916020.29999999993</v>
      </c>
      <c r="Q24" s="12"/>
      <c r="T24" t="str">
        <v>London</v>
      </c>
      <c r="U24">
        <v>566</v>
      </c>
      <c r="AB24" s="11" t="s">
        <v>78</v>
      </c>
      <c r="AC24" s="8">
        <v>550</v>
      </c>
    </row>
    <row r="25" spans="11:29" x14ac:dyDescent="0.25">
      <c r="K25" t="str">
        <v>Palace Inn</v>
      </c>
      <c r="L25">
        <v>256</v>
      </c>
      <c r="O25" t="str">
        <v>Jun</v>
      </c>
      <c r="P25" s="12">
        <v>1321515.5999999999</v>
      </c>
      <c r="Q25" s="12"/>
      <c r="T25" t="str">
        <v>Los Angeles</v>
      </c>
      <c r="U25">
        <v>752</v>
      </c>
      <c r="AB25" s="11" t="s">
        <v>79</v>
      </c>
      <c r="AC25" s="8">
        <v>532</v>
      </c>
    </row>
    <row r="26" spans="11:29" x14ac:dyDescent="0.25">
      <c r="K26" t="str">
        <v>Empire Grand</v>
      </c>
      <c r="L26">
        <v>250</v>
      </c>
      <c r="O26" t="str">
        <v>Jul</v>
      </c>
      <c r="P26" s="12">
        <v>369928.80000000005</v>
      </c>
      <c r="Q26" s="12"/>
      <c r="T26" t="str">
        <v>Melbourne</v>
      </c>
      <c r="U26">
        <v>1270</v>
      </c>
      <c r="AB26" s="11" t="s">
        <v>81</v>
      </c>
      <c r="AC26" s="8">
        <v>547</v>
      </c>
    </row>
    <row r="27" spans="11:29" x14ac:dyDescent="0.25">
      <c r="K27" t="str">
        <v>Inn Eve</v>
      </c>
      <c r="L27">
        <v>132</v>
      </c>
      <c r="O27" t="str">
        <v>Aug</v>
      </c>
      <c r="P27" s="12">
        <v>1392664.1999999997</v>
      </c>
      <c r="Q27" s="12"/>
      <c r="T27" t="str">
        <v>Milan</v>
      </c>
      <c r="U27">
        <v>1352</v>
      </c>
      <c r="AB27" s="11" t="s">
        <v>82</v>
      </c>
      <c r="AC27" s="8">
        <v>404</v>
      </c>
    </row>
    <row r="28" spans="11:29" x14ac:dyDescent="0.25">
      <c r="O28" t="str">
        <v>Sep</v>
      </c>
      <c r="P28" s="12">
        <v>809486.10000000009</v>
      </c>
      <c r="Q28" s="12"/>
      <c r="T28" t="str">
        <v>Mumbai</v>
      </c>
      <c r="U28">
        <v>1683</v>
      </c>
      <c r="AB28" s="11" t="s">
        <v>83</v>
      </c>
      <c r="AC28" s="8">
        <v>515</v>
      </c>
    </row>
    <row r="29" spans="11:29" x14ac:dyDescent="0.25">
      <c r="O29" t="str">
        <v>Oct</v>
      </c>
      <c r="P29" s="12">
        <v>819174.29999999993</v>
      </c>
      <c r="Q29" s="12"/>
      <c r="T29" t="str">
        <v>New York</v>
      </c>
      <c r="U29">
        <v>752</v>
      </c>
      <c r="AB29" s="11" t="s">
        <v>84</v>
      </c>
      <c r="AC29" s="8">
        <v>478</v>
      </c>
    </row>
    <row r="30" spans="11:29" x14ac:dyDescent="0.25">
      <c r="O30" t="str">
        <v>Nov</v>
      </c>
      <c r="P30" s="12">
        <v>766944.6</v>
      </c>
      <c r="Q30" s="12"/>
      <c r="T30" t="str">
        <v>Rome</v>
      </c>
      <c r="U30">
        <v>191</v>
      </c>
      <c r="AB30" s="11" t="s">
        <v>85</v>
      </c>
      <c r="AC30" s="8">
        <v>443</v>
      </c>
    </row>
    <row r="31" spans="11:29" x14ac:dyDescent="0.25">
      <c r="O31" t="str">
        <v>Dec</v>
      </c>
      <c r="P31" s="12">
        <v>1645365.6</v>
      </c>
      <c r="Q31" s="12"/>
      <c r="T31" t="str">
        <v>Sydney</v>
      </c>
      <c r="U31">
        <v>2472</v>
      </c>
      <c r="AB31" s="11" t="s">
        <v>86</v>
      </c>
      <c r="AC31" s="8">
        <v>417</v>
      </c>
    </row>
    <row r="32" spans="11:29" x14ac:dyDescent="0.25">
      <c r="AB32" s="11" t="s">
        <v>88</v>
      </c>
      <c r="AC32" s="8">
        <v>550</v>
      </c>
    </row>
    <row r="33" spans="28:29" x14ac:dyDescent="0.25">
      <c r="AB33" s="11" t="s">
        <v>89</v>
      </c>
      <c r="AC33" s="8">
        <v>416</v>
      </c>
    </row>
    <row r="34" spans="28:29" x14ac:dyDescent="0.25">
      <c r="AB34" s="11" t="s">
        <v>90</v>
      </c>
      <c r="AC34" s="8">
        <v>440</v>
      </c>
    </row>
  </sheetData>
  <mergeCells count="17">
    <mergeCell ref="O4:Q4"/>
    <mergeCell ref="O1:R2"/>
    <mergeCell ref="A1:C2"/>
    <mergeCell ref="AF1:AI2"/>
    <mergeCell ref="AF4:AH4"/>
    <mergeCell ref="AK1:AM2"/>
    <mergeCell ref="AK4:AM4"/>
    <mergeCell ref="T4:U4"/>
    <mergeCell ref="T1:V2"/>
    <mergeCell ref="AB1:AD2"/>
    <mergeCell ref="AB4:AC4"/>
    <mergeCell ref="X1:Z2"/>
    <mergeCell ref="X4:Y4"/>
    <mergeCell ref="H4:I4"/>
    <mergeCell ref="K4:L4"/>
    <mergeCell ref="E4:F4"/>
    <mergeCell ref="E1: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D6226-8692-4C20-BA5B-757A6DB78BEF}">
  <dimension ref="A5:X7"/>
  <sheetViews>
    <sheetView showGridLines="0" tabSelected="1" topLeftCell="A10" workbookViewId="0">
      <selection activeCell="G33" sqref="A33:XFD33"/>
    </sheetView>
  </sheetViews>
  <sheetFormatPr defaultRowHeight="15" x14ac:dyDescent="0.25"/>
  <cols>
    <col min="24" max="24" width="7.140625" customWidth="1"/>
    <col min="25" max="25" width="2.42578125" customWidth="1"/>
  </cols>
  <sheetData>
    <row r="5" spans="1:24" ht="9.75" customHeight="1" thickBot="1" x14ac:dyDescent="0.3"/>
    <row r="6" spans="1:24" ht="15" customHeight="1" x14ac:dyDescent="0.25">
      <c r="A6" s="20" t="str">
        <f>Pivot!$H7</f>
        <v>Empire Grand</v>
      </c>
      <c r="B6" s="21"/>
      <c r="C6" s="18">
        <f>_xlfn.XLOOKUP(A6,Pivot!$H$7:$H$14,Pivot!$I$7:$I$14)</f>
        <v>2093</v>
      </c>
      <c r="D6" s="20" t="str">
        <f>Pivot!$H8</f>
        <v>Hames Palace</v>
      </c>
      <c r="E6" s="21"/>
      <c r="F6" s="18">
        <f>_xlfn.XLOOKUP(D6,Pivot!$H$7:$H$14,Pivot!$I$7:$I$14)</f>
        <v>2120</v>
      </c>
      <c r="G6" s="20" t="str">
        <f>Pivot!$H9</f>
        <v>Hotel Sunshine</v>
      </c>
      <c r="H6" s="21"/>
      <c r="I6" s="18">
        <f>_xlfn.XLOOKUP(G6,Pivot!$H$7:$H$14,Pivot!$I$7:$I$14)</f>
        <v>1676</v>
      </c>
      <c r="J6" s="20" t="str">
        <f>Pivot!$H10</f>
        <v>Inn Eve</v>
      </c>
      <c r="K6" s="21"/>
      <c r="L6" s="18">
        <f>_xlfn.XLOOKUP(J6,Pivot!$H$7:$H$14,Pivot!$I$7:$I$14)</f>
        <v>589</v>
      </c>
      <c r="M6" s="20" t="str">
        <f>Pivot!$H11</f>
        <v>Marine Resort</v>
      </c>
      <c r="N6" s="21"/>
      <c r="O6" s="18">
        <f>_xlfn.XLOOKUP(M6,Pivot!$H$7:$H$14,Pivot!$I$7:$I$14)</f>
        <v>3348</v>
      </c>
      <c r="P6" s="20" t="str">
        <f>Pivot!$H12</f>
        <v>Opera House</v>
      </c>
      <c r="Q6" s="21"/>
      <c r="R6" s="18">
        <f>_xlfn.XLOOKUP(P6,Pivot!$H$7:$H$14,Pivot!$I$7:$I$14)</f>
        <v>2100</v>
      </c>
      <c r="S6" s="20" t="str">
        <f>Pivot!$H13</f>
        <v>Palace Inn</v>
      </c>
      <c r="T6" s="21"/>
      <c r="U6" s="18">
        <f>_xlfn.XLOOKUP(S6,Pivot!$H$7:$H$14,Pivot!$I$7:$I$14)</f>
        <v>998</v>
      </c>
      <c r="V6" s="20" t="str">
        <f>Pivot!$H14</f>
        <v>View Hotel</v>
      </c>
      <c r="W6" s="21"/>
      <c r="X6" s="18">
        <f>_xlfn.XLOOKUP(V6,Pivot!$H$7:$H$14,Pivot!$I$7:$I$14)</f>
        <v>1764</v>
      </c>
    </row>
    <row r="7" spans="1:24" ht="15.75" customHeight="1" thickBot="1" x14ac:dyDescent="0.3">
      <c r="A7" s="22"/>
      <c r="B7" s="23"/>
      <c r="C7" s="19"/>
      <c r="D7" s="22"/>
      <c r="E7" s="23"/>
      <c r="F7" s="19"/>
      <c r="G7" s="22"/>
      <c r="H7" s="23"/>
      <c r="I7" s="19"/>
      <c r="J7" s="22"/>
      <c r="K7" s="23"/>
      <c r="L7" s="19"/>
      <c r="M7" s="22"/>
      <c r="N7" s="23"/>
      <c r="O7" s="19"/>
      <c r="P7" s="22"/>
      <c r="Q7" s="23"/>
      <c r="R7" s="19"/>
      <c r="S7" s="22"/>
      <c r="T7" s="23"/>
      <c r="U7" s="19"/>
      <c r="V7" s="22"/>
      <c r="W7" s="23"/>
      <c r="X7" s="19"/>
    </row>
  </sheetData>
  <mergeCells count="16">
    <mergeCell ref="O6:O7"/>
    <mergeCell ref="R6:R7"/>
    <mergeCell ref="U6:U7"/>
    <mergeCell ref="X6:X7"/>
    <mergeCell ref="A6:B7"/>
    <mergeCell ref="D6:E7"/>
    <mergeCell ref="G6:H7"/>
    <mergeCell ref="J6:K7"/>
    <mergeCell ref="M6:N7"/>
    <mergeCell ref="P6:Q7"/>
    <mergeCell ref="S6:T7"/>
    <mergeCell ref="V6:W7"/>
    <mergeCell ref="C6:C7"/>
    <mergeCell ref="F6:F7"/>
    <mergeCell ref="I6:I7"/>
    <mergeCell ref="L6: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ADMIN</cp:lastModifiedBy>
  <dcterms:created xsi:type="dcterms:W3CDTF">2026-01-31T01:07:16Z</dcterms:created>
  <dcterms:modified xsi:type="dcterms:W3CDTF">2026-04-18T17:37:48Z</dcterms:modified>
</cp:coreProperties>
</file>