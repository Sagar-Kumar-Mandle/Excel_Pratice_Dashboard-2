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VCE\Sagar BCC\2) Pratice Project Dashboard\1) Excel\da\10) Sales Agent Performance Data\"/>
    </mc:Choice>
  </mc:AlternateContent>
  <xr:revisionPtr revIDLastSave="0" documentId="13_ncr:1_{0577A09A-99E9-4826-BF2F-5BCE6D43FF05}" xr6:coauthVersionLast="47" xr6:coauthVersionMax="47" xr10:uidLastSave="{00000000-0000-0000-0000-000000000000}"/>
  <bookViews>
    <workbookView xWindow="-120" yWindow="-120" windowWidth="20730" windowHeight="11160" activeTab="2" xr2:uid="{DD7A1FB3-7E18-49B5-BD25-852F760F4461}"/>
  </bookViews>
  <sheets>
    <sheet name="Data" sheetId="1" r:id="rId1"/>
    <sheet name="Pivot" sheetId="2" r:id="rId2"/>
    <sheet name="Dashboard" sheetId="3" r:id="rId3"/>
  </sheets>
  <definedNames>
    <definedName name="_xlchart.v2.0" hidden="1">Pivot!$S$19:$S$30</definedName>
    <definedName name="_xlchart.v2.1" hidden="1">Pivot!$T$19:$T$30</definedName>
    <definedName name="Slicer_Month">#N/A</definedName>
    <definedName name="Slicer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5" i="2" l="1" a="1"/>
  <c r="Z5" i="2" s="1"/>
  <c r="Z4" i="2" a="1"/>
  <c r="Z4" i="2" s="1"/>
  <c r="Z3" i="2"/>
  <c r="V4" i="2" a="1"/>
  <c r="V4" i="2" s="1"/>
  <c r="A11" i="2" a="1"/>
  <c r="A11" i="2" s="1"/>
  <c r="S19" i="2" a="1"/>
  <c r="S19" i="2" s="1"/>
  <c r="P19" i="2" a="1"/>
  <c r="P19" i="2" s="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I241" i="1"/>
  <c r="I240" i="1"/>
  <c r="I239" i="1"/>
  <c r="I238" i="1"/>
  <c r="I237" i="1"/>
  <c r="I236" i="1"/>
  <c r="I235" i="1"/>
  <c r="I234" i="1"/>
  <c r="I233" i="1"/>
  <c r="I232" i="1"/>
  <c r="I231" i="1"/>
  <c r="I230" i="1"/>
  <c r="I229" i="1"/>
  <c r="I228" i="1"/>
  <c r="I227" i="1"/>
  <c r="I226" i="1"/>
  <c r="I225" i="1"/>
  <c r="I224" i="1"/>
  <c r="I223" i="1"/>
  <c r="I22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<sst xmlns="http://schemas.openxmlformats.org/spreadsheetml/2006/main" count="398" uniqueCount="68">
  <si>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</si>
  <si>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</si>
  <si>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</si>
  <si>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</si>
  <si>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</si>
  <si>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</si>
  <si>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</si>
  <si>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</si>
  <si>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</si>
  <si>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</si>
  <si>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</si>
  <si>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</si>
  <si>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</si>
  <si>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</si>
  <si>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</si>
  <si>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</si>
  <si>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Molly</t>
  </si>
  <si>
    <t>Chris</t>
  </si>
  <si>
    <t>Paul</t>
  </si>
  <si>
    <t>Ian</t>
  </si>
  <si>
    <t>Alex</t>
  </si>
  <si>
    <t>Karol</t>
  </si>
  <si>
    <t>Will</t>
  </si>
  <si>
    <t>Vicky</t>
  </si>
  <si>
    <t>Grace</t>
  </si>
  <si>
    <t>Josh</t>
  </si>
  <si>
    <t>Craig</t>
  </si>
  <si>
    <t>David</t>
  </si>
  <si>
    <t>Mimi</t>
  </si>
  <si>
    <t>Year</t>
  </si>
  <si>
    <t>Month</t>
  </si>
  <si>
    <t>Sum of Total Calls</t>
  </si>
  <si>
    <t>Sum of Calls Reached</t>
  </si>
  <si>
    <t>Sum of Deals Closed</t>
  </si>
  <si>
    <t>Sum of Deal Value ($)</t>
  </si>
  <si>
    <t>Total Call</t>
  </si>
  <si>
    <t>Total Call Reached</t>
  </si>
  <si>
    <t>Total Deal Closed</t>
  </si>
  <si>
    <t xml:space="preserve">Total Sale </t>
  </si>
  <si>
    <t>Total</t>
  </si>
  <si>
    <t>Row Labels</t>
  </si>
  <si>
    <t>Jan</t>
  </si>
  <si>
    <t>Feb</t>
  </si>
  <si>
    <t>Mar</t>
  </si>
  <si>
    <t>Apr</t>
  </si>
  <si>
    <t>May</t>
  </si>
  <si>
    <t>Jun</t>
  </si>
  <si>
    <t>Jul</t>
  </si>
  <si>
    <t>Aug</t>
  </si>
  <si>
    <t>Sep</t>
  </si>
  <si>
    <t>Oct</t>
  </si>
  <si>
    <t>Nov</t>
  </si>
  <si>
    <t>Dec</t>
  </si>
  <si>
    <t>Total Sales per Month</t>
  </si>
  <si>
    <t>Average Call Duration per Month</t>
  </si>
  <si>
    <t>Average of Average Duration (sec)</t>
  </si>
  <si>
    <t>Average Call Drop per Month</t>
  </si>
  <si>
    <t>Average of Call Drop Rate (%)</t>
  </si>
  <si>
    <t>Call Reached vs Deal Closed</t>
  </si>
  <si>
    <t>Sales Agent KPI Chart</t>
  </si>
  <si>
    <t>M</t>
  </si>
  <si>
    <t>F</t>
  </si>
  <si>
    <t>Employee</t>
  </si>
  <si>
    <t>Gender</t>
  </si>
  <si>
    <t>Employee List</t>
  </si>
  <si>
    <t>Total Employee</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</si>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</sst>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quot;$&quot;#,##0,\K"/>
    <numFmt numFmtId="166" formatCode="&quot;$&quot;#,##0.0,&quot;K&quot;"/>
  </numFmts>
  <fonts count="4" x14ac:knownFonts="1">
    <font>
      <sz val="11"/>
      <color theme="1"/>
      <name val="Aptos Narrow"/>
      <family val="2"/>
      <scheme val="minor"/>
    </font>
    <font>
      <b/>
      <sz val="11"/>
      <color theme="1"/>
      <name val="Aptos Narrow"/>
      <family val="2"/>
      <scheme val="minor"/>
    </font>
    <font>
      <b/>
      <sz val="26"/>
      <color theme="0"/>
      <name val="Aptos Narrow"/>
      <family val="2"/>
      <scheme val="minor"/>
    </font>
    <font>
      <sz val="32"/>
      <color theme="0"/>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7030A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applyNumberFormat="1"/>
    <xf numFmtId="0" fontId="0" fillId="0" borderId="0" xfId="0" pivotButton="1"/>
    <xf numFmtId="0" fontId="0" fillId="0" borderId="0" xfId="0" applyAlignment="1">
      <alignment horizontal="center"/>
    </xf>
    <xf numFmtId="0" fontId="1" fillId="2" borderId="1" xfId="0" applyFont="1" applyFill="1" applyBorder="1" applyAlignment="1">
      <alignment horizontal="center"/>
    </xf>
    <xf numFmtId="0" fontId="0" fillId="4" borderId="0" xfId="0" applyFill="1"/>
    <xf numFmtId="0" fontId="0" fillId="0" borderId="0" xfId="0" applyAlignment="1">
      <alignment horizontal="left"/>
    </xf>
    <xf numFmtId="1" fontId="0" fillId="0" borderId="0" xfId="0" applyNumberFormat="1"/>
    <xf numFmtId="10" fontId="0" fillId="0" borderId="0" xfId="0" applyNumberFormat="1"/>
    <xf numFmtId="165" fontId="0" fillId="0" borderId="0" xfId="0" applyNumberFormat="1"/>
    <xf numFmtId="0" fontId="0" fillId="5" borderId="0" xfId="0" applyFill="1"/>
    <xf numFmtId="166" fontId="0" fillId="0" borderId="0" xfId="0" applyNumberFormat="1"/>
    <xf numFmtId="9" fontId="0" fillId="0" borderId="0" xfId="0" applyNumberFormat="1"/>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0" xfId="0" applyFont="1" applyFill="1" applyAlignment="1">
      <alignment horizontal="center"/>
    </xf>
    <xf numFmtId="0" fontId="1" fillId="2" borderId="1" xfId="0" applyFont="1" applyFill="1" applyBorder="1" applyAlignment="1">
      <alignment horizontal="center"/>
    </xf>
    <xf numFmtId="0" fontId="3" fillId="6" borderId="0" xfId="0" applyFont="1" applyFill="1" applyAlignment="1">
      <alignment horizontal="center" vertical="center"/>
    </xf>
    <xf numFmtId="1" fontId="1" fillId="0" borderId="0" xfId="0" applyNumberFormat="1" applyFont="1"/>
    <xf numFmtId="165" fontId="1" fillId="0" borderId="0" xfId="0" applyNumberFormat="1" applyFont="1"/>
  </cellXfs>
  <cellStyles count="1">
    <cellStyle name="Normal" xfId="0" builtinId="0"/>
  </cellStyles>
  <dxfs count="15">
    <dxf>
      <font>
        <b/>
      </font>
    </dxf>
    <dxf>
      <fill>
        <patternFill patternType="solid">
          <bgColor theme="5" tint="0.39997558519241921"/>
        </patternFill>
      </fill>
    </dxf>
    <dxf>
      <fill>
        <patternFill patternType="solid">
          <bgColor theme="5" tint="0.39997558519241921"/>
        </patternFill>
      </fill>
    </dxf>
    <dxf>
      <numFmt numFmtId="1" formatCode="0"/>
    </dxf>
    <dxf>
      <numFmt numFmtId="165" formatCode="&quot;$&quot;#,##0,\K"/>
    </dxf>
    <dxf>
      <numFmt numFmtId="14" formatCode="0.00%"/>
    </dxf>
    <dxf>
      <numFmt numFmtId="1" formatCode="0"/>
    </dxf>
    <dxf>
      <numFmt numFmtId="165" formatCode="&quot;$&quot;#,##0,\K"/>
    </dxf>
    <dxf>
      <numFmt numFmtId="166" formatCode="&quot;$&quot;#,##0.0,&quot;K&quot;"/>
    </dxf>
    <dxf>
      <numFmt numFmtId="164" formatCode="0.0000"/>
    </dxf>
    <dxf>
      <numFmt numFmtId="2" formatCode="0.00"/>
    </dxf>
    <dxf>
      <numFmt numFmtId="2" formatCode="0.00"/>
    </dxf>
    <dxf>
      <numFmt numFmtId="0" formatCode="General"/>
    </dxf>
    <dxf>
      <numFmt numFmtId="0" formatCode="General"/>
    </dxf>
    <dxf>
      <numFmt numFmtId="167" formatCode="m/d/yyyy"/>
    </dxf>
  </dxfs>
  <tableStyles count="0" defaultTableStyle="TableStyleMedium2" defaultPivotStyle="PivotStyleLight16"/>
  <colors>
    <mruColors>
      <color rgb="FF0000FF"/>
      <color rgb="FF0000CC"/>
      <color rgb="FFFB89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Agent Performance Data - Dashboard.xlsx]Pivot!PivotTable7</c:name>
    <c:fmtId val="7"/>
  </c:pivotSource>
  <c:chart>
    <c:title>
      <c:tx>
        <c:strRef>
          <c:f>Pivot!$I$3</c:f>
          <c:strCache>
            <c:ptCount val="1"/>
            <c:pt idx="0">
              <c:v>Total Sales per Month</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chemeClr val="accent2"/>
            </a:solidFill>
            <a:ln w="9525">
              <a:solidFill>
                <a:srgbClr val="FFFF00"/>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circle"/>
          <c:size val="5"/>
          <c:spPr>
            <a:solidFill>
              <a:schemeClr val="accent2"/>
            </a:solidFill>
            <a:ln w="9525">
              <a:solidFill>
                <a:srgbClr val="FFFF00"/>
              </a:solidFill>
            </a:ln>
            <a:effectLst/>
          </c:spPr>
        </c:marker>
      </c:pivotFmt>
      <c:pivotFmt>
        <c:idx val="4"/>
        <c:spPr>
          <a:ln w="28575" cap="rnd">
            <a:solidFill>
              <a:srgbClr val="FFFF00"/>
            </a:solidFill>
            <a:round/>
          </a:ln>
          <a:effectLst/>
        </c:spPr>
        <c:marker>
          <c:symbol val="circle"/>
          <c:size val="5"/>
          <c:spPr>
            <a:solidFill>
              <a:schemeClr val="accent2"/>
            </a:solidFill>
            <a:ln w="9525">
              <a:solidFill>
                <a:srgbClr val="FFFF00"/>
              </a:solidFill>
            </a:ln>
            <a:effectLst/>
          </c:spPr>
        </c:marker>
        <c:dLbl>
          <c:idx val="0"/>
          <c:layout>
            <c:manualLayout>
              <c:x val="-1.7488078500817256E-2"/>
              <c:y val="0.1302083333333333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circle"/>
          <c:size val="5"/>
          <c:spPr>
            <a:solidFill>
              <a:schemeClr val="accent2"/>
            </a:solidFill>
            <a:ln w="9525">
              <a:solidFill>
                <a:srgbClr val="FFFF00"/>
              </a:solidFill>
            </a:ln>
            <a:effectLst/>
          </c:spPr>
        </c:marker>
        <c:dLbl>
          <c:idx val="0"/>
          <c:layout>
            <c:manualLayout>
              <c:x val="-4.372019625204325E-2"/>
              <c:y val="-0.1406250000000000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FF00"/>
            </a:solidFill>
            <a:round/>
          </a:ln>
          <a:effectLst/>
        </c:spPr>
        <c:marker>
          <c:symbol val="circle"/>
          <c:size val="5"/>
          <c:spPr>
            <a:solidFill>
              <a:schemeClr val="accent2"/>
            </a:solidFill>
            <a:ln w="9525">
              <a:solidFill>
                <a:srgbClr val="FFFF00"/>
              </a:solidFill>
            </a:ln>
            <a:effectLst/>
          </c:spPr>
        </c:marker>
        <c:dLbl>
          <c:idx val="0"/>
          <c:layout>
            <c:manualLayout>
              <c:x val="-1.4573398750681102E-2"/>
              <c:y val="0.1145833333333334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FFF00"/>
            </a:solidFill>
            <a:round/>
          </a:ln>
          <a:effectLst/>
        </c:spPr>
        <c:marker>
          <c:symbol val="circle"/>
          <c:size val="5"/>
          <c:spPr>
            <a:solidFill>
              <a:schemeClr val="accent2"/>
            </a:solidFill>
            <a:ln w="9525">
              <a:solidFill>
                <a:srgbClr val="FFFF00"/>
              </a:solidFill>
            </a:ln>
            <a:effectLst/>
          </c:spPr>
        </c:marker>
        <c:dLbl>
          <c:idx val="0"/>
          <c:layout>
            <c:manualLayout>
              <c:x val="0"/>
              <c:y val="6.249999999999990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FFFF00"/>
            </a:solidFill>
            <a:round/>
          </a:ln>
          <a:effectLst/>
        </c:spPr>
        <c:marker>
          <c:symbol val="circle"/>
          <c:size val="5"/>
          <c:spPr>
            <a:solidFill>
              <a:schemeClr val="accent2"/>
            </a:solidFill>
            <a:ln w="9525">
              <a:solidFill>
                <a:srgbClr val="FFFF00"/>
              </a:solidFill>
            </a:ln>
            <a:effectLst/>
          </c:spPr>
        </c:marker>
        <c:dLbl>
          <c:idx val="0"/>
          <c:layout>
            <c:manualLayout>
              <c:x val="-2.3317438001089676E-2"/>
              <c:y val="9.895833333333328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FFFF00"/>
            </a:solidFill>
            <a:round/>
          </a:ln>
          <a:effectLst/>
        </c:spPr>
        <c:marker>
          <c:symbol val="circle"/>
          <c:size val="5"/>
          <c:spPr>
            <a:solidFill>
              <a:schemeClr val="accent2"/>
            </a:solidFill>
            <a:ln w="9525">
              <a:solidFill>
                <a:srgbClr val="FFFF00"/>
              </a:solidFill>
            </a:ln>
            <a:effectLst/>
          </c:spPr>
        </c:marker>
      </c:pivotFmt>
      <c:pivotFmt>
        <c:idx val="10"/>
        <c:spPr>
          <a:ln w="28575" cap="rnd">
            <a:solidFill>
              <a:srgbClr val="FFFF00"/>
            </a:solidFill>
            <a:round/>
          </a:ln>
          <a:effectLst/>
        </c:spPr>
        <c:marker>
          <c:symbol val="circle"/>
          <c:size val="5"/>
          <c:spPr>
            <a:solidFill>
              <a:schemeClr val="accent2"/>
            </a:solidFill>
            <a:ln w="9525">
              <a:solidFill>
                <a:srgbClr val="FFFF00"/>
              </a:solidFill>
            </a:ln>
            <a:effectLst/>
          </c:spPr>
        </c:marker>
      </c:pivotFmt>
    </c:pivotFmts>
    <c:plotArea>
      <c:layout>
        <c:manualLayout>
          <c:layoutTarget val="inner"/>
          <c:xMode val="edge"/>
          <c:yMode val="edge"/>
          <c:x val="3.2061477251498306E-2"/>
          <c:y val="0.20359375000000002"/>
          <c:w val="0.93587704549700335"/>
          <c:h val="0.68641527230971133"/>
        </c:manualLayout>
      </c:layout>
      <c:lineChart>
        <c:grouping val="standard"/>
        <c:varyColors val="0"/>
        <c:ser>
          <c:idx val="0"/>
          <c:order val="0"/>
          <c:tx>
            <c:strRef>
              <c:f>Pivot!$I$3</c:f>
              <c:strCache>
                <c:ptCount val="1"/>
                <c:pt idx="0">
                  <c:v>Total</c:v>
                </c:pt>
              </c:strCache>
            </c:strRef>
          </c:tx>
          <c:spPr>
            <a:ln w="28575" cap="rnd">
              <a:solidFill>
                <a:srgbClr val="FFFF00"/>
              </a:solidFill>
              <a:round/>
            </a:ln>
            <a:effectLst/>
          </c:spPr>
          <c:marker>
            <c:symbol val="circle"/>
            <c:size val="5"/>
            <c:spPr>
              <a:solidFill>
                <a:schemeClr val="accent2"/>
              </a:solidFill>
              <a:ln w="9525">
                <a:solidFill>
                  <a:srgbClr val="FFFF00"/>
                </a:solidFill>
              </a:ln>
              <a:effectLst/>
            </c:spPr>
          </c:marker>
          <c:dPt>
            <c:idx val="3"/>
            <c:marker>
              <c:symbol val="circle"/>
              <c:size val="5"/>
              <c:spPr>
                <a:solidFill>
                  <a:schemeClr val="accent2"/>
                </a:solidFill>
                <a:ln w="9525">
                  <a:solidFill>
                    <a:srgbClr val="FFFF00"/>
                  </a:solidFill>
                </a:ln>
                <a:effectLst/>
              </c:spPr>
            </c:marker>
            <c:bubble3D val="0"/>
            <c:spPr>
              <a:ln w="28575" cap="rnd">
                <a:solidFill>
                  <a:srgbClr val="FFFF00"/>
                </a:solidFill>
                <a:round/>
              </a:ln>
              <a:effectLst/>
            </c:spPr>
            <c:extLst>
              <c:ext xmlns:c16="http://schemas.microsoft.com/office/drawing/2014/chart" uri="{C3380CC4-5D6E-409C-BE32-E72D297353CC}">
                <c16:uniqueId val="{00000004-014B-4631-927B-909C658314C9}"/>
              </c:ext>
            </c:extLst>
          </c:dPt>
          <c:dPt>
            <c:idx val="4"/>
            <c:marker>
              <c:symbol val="circle"/>
              <c:size val="5"/>
              <c:spPr>
                <a:solidFill>
                  <a:schemeClr val="accent2"/>
                </a:solidFill>
                <a:ln w="9525">
                  <a:solidFill>
                    <a:srgbClr val="FFFF00"/>
                  </a:solidFill>
                </a:ln>
                <a:effectLst/>
              </c:spPr>
            </c:marker>
            <c:bubble3D val="0"/>
            <c:spPr>
              <a:ln w="28575" cap="rnd">
                <a:solidFill>
                  <a:srgbClr val="FFFF00"/>
                </a:solidFill>
                <a:round/>
              </a:ln>
              <a:effectLst/>
            </c:spPr>
            <c:extLst>
              <c:ext xmlns:c16="http://schemas.microsoft.com/office/drawing/2014/chart" uri="{C3380CC4-5D6E-409C-BE32-E72D297353CC}">
                <c16:uniqueId val="{00000005-014B-4631-927B-909C658314C9}"/>
              </c:ext>
            </c:extLst>
          </c:dPt>
          <c:dPt>
            <c:idx val="5"/>
            <c:marker>
              <c:symbol val="circle"/>
              <c:size val="5"/>
              <c:spPr>
                <a:solidFill>
                  <a:schemeClr val="accent2"/>
                </a:solidFill>
                <a:ln w="9525">
                  <a:solidFill>
                    <a:srgbClr val="FFFF00"/>
                  </a:solidFill>
                </a:ln>
                <a:effectLst/>
              </c:spPr>
            </c:marker>
            <c:bubble3D val="0"/>
            <c:spPr>
              <a:ln w="28575" cap="rnd">
                <a:solidFill>
                  <a:srgbClr val="FFFF00"/>
                </a:solidFill>
                <a:round/>
              </a:ln>
              <a:effectLst/>
            </c:spPr>
            <c:extLst>
              <c:ext xmlns:c16="http://schemas.microsoft.com/office/drawing/2014/chart" uri="{C3380CC4-5D6E-409C-BE32-E72D297353CC}">
                <c16:uniqueId val="{00000001-014B-4631-927B-909C658314C9}"/>
              </c:ext>
            </c:extLst>
          </c:dPt>
          <c:dPt>
            <c:idx val="6"/>
            <c:marker>
              <c:symbol val="circle"/>
              <c:size val="5"/>
              <c:spPr>
                <a:solidFill>
                  <a:schemeClr val="accent2"/>
                </a:solidFill>
                <a:ln w="9525">
                  <a:solidFill>
                    <a:srgbClr val="FFFF00"/>
                  </a:solidFill>
                </a:ln>
                <a:effectLst/>
              </c:spPr>
            </c:marker>
            <c:bubble3D val="0"/>
            <c:spPr>
              <a:ln w="28575" cap="rnd">
                <a:solidFill>
                  <a:srgbClr val="FFFF00"/>
                </a:solidFill>
                <a:round/>
              </a:ln>
              <a:effectLst/>
            </c:spPr>
            <c:extLst>
              <c:ext xmlns:c16="http://schemas.microsoft.com/office/drawing/2014/chart" uri="{C3380CC4-5D6E-409C-BE32-E72D297353CC}">
                <c16:uniqueId val="{00000002-014B-4631-927B-909C658314C9}"/>
              </c:ext>
            </c:extLst>
          </c:dPt>
          <c:dPt>
            <c:idx val="7"/>
            <c:marker>
              <c:symbol val="circle"/>
              <c:size val="5"/>
              <c:spPr>
                <a:solidFill>
                  <a:schemeClr val="accent2"/>
                </a:solidFill>
                <a:ln w="9525">
                  <a:solidFill>
                    <a:srgbClr val="FFFF00"/>
                  </a:solidFill>
                </a:ln>
                <a:effectLst/>
              </c:spPr>
            </c:marker>
            <c:bubble3D val="0"/>
            <c:spPr>
              <a:ln w="28575" cap="rnd">
                <a:solidFill>
                  <a:srgbClr val="FFFF00"/>
                </a:solidFill>
                <a:round/>
              </a:ln>
              <a:effectLst/>
            </c:spPr>
            <c:extLst>
              <c:ext xmlns:c16="http://schemas.microsoft.com/office/drawing/2014/chart" uri="{C3380CC4-5D6E-409C-BE32-E72D297353CC}">
                <c16:uniqueId val="{00000003-014B-4631-927B-909C658314C9}"/>
              </c:ext>
            </c:extLst>
          </c:dPt>
          <c:dPt>
            <c:idx val="8"/>
            <c:marker>
              <c:symbol val="circle"/>
              <c:size val="5"/>
              <c:spPr>
                <a:solidFill>
                  <a:schemeClr val="accent2"/>
                </a:solidFill>
                <a:ln w="9525">
                  <a:solidFill>
                    <a:srgbClr val="FFFF00"/>
                  </a:solidFill>
                </a:ln>
                <a:effectLst/>
              </c:spPr>
            </c:marker>
            <c:bubble3D val="0"/>
            <c:spPr>
              <a:ln w="28575" cap="rnd">
                <a:solidFill>
                  <a:srgbClr val="FFFF00"/>
                </a:solidFill>
                <a:round/>
              </a:ln>
              <a:effectLst/>
            </c:spPr>
            <c:extLst>
              <c:ext xmlns:c16="http://schemas.microsoft.com/office/drawing/2014/chart" uri="{C3380CC4-5D6E-409C-BE32-E72D297353CC}">
                <c16:uniqueId val="{00000006-014B-4631-927B-909C658314C9}"/>
              </c:ext>
            </c:extLst>
          </c:dPt>
          <c:dPt>
            <c:idx val="9"/>
            <c:marker>
              <c:symbol val="circle"/>
              <c:size val="5"/>
              <c:spPr>
                <a:solidFill>
                  <a:schemeClr val="accent2"/>
                </a:solidFill>
                <a:ln w="9525">
                  <a:solidFill>
                    <a:srgbClr val="FFFF00"/>
                  </a:solidFill>
                </a:ln>
                <a:effectLst/>
              </c:spPr>
            </c:marker>
            <c:bubble3D val="0"/>
            <c:spPr>
              <a:ln w="28575" cap="rnd">
                <a:solidFill>
                  <a:srgbClr val="FFFF00"/>
                </a:solidFill>
                <a:round/>
              </a:ln>
              <a:effectLst/>
            </c:spPr>
            <c:extLst>
              <c:ext xmlns:c16="http://schemas.microsoft.com/office/drawing/2014/chart" uri="{C3380CC4-5D6E-409C-BE32-E72D297353CC}">
                <c16:uniqueId val="{00000007-014B-4631-927B-909C658314C9}"/>
              </c:ext>
            </c:extLst>
          </c:dPt>
          <c:dPt>
            <c:idx val="11"/>
            <c:marker>
              <c:symbol val="circle"/>
              <c:size val="5"/>
              <c:spPr>
                <a:solidFill>
                  <a:schemeClr val="accent2"/>
                </a:solidFill>
                <a:ln w="9525">
                  <a:solidFill>
                    <a:srgbClr val="FFFF00"/>
                  </a:solidFill>
                </a:ln>
                <a:effectLst/>
              </c:spPr>
            </c:marker>
            <c:bubble3D val="0"/>
            <c:spPr>
              <a:ln w="28575" cap="rnd">
                <a:solidFill>
                  <a:srgbClr val="FFFF00"/>
                </a:solidFill>
                <a:round/>
              </a:ln>
              <a:effectLst/>
            </c:spPr>
            <c:extLst>
              <c:ext xmlns:c16="http://schemas.microsoft.com/office/drawing/2014/chart" uri="{C3380CC4-5D6E-409C-BE32-E72D297353CC}">
                <c16:uniqueId val="{00000008-014B-4631-927B-909C658314C9}"/>
              </c:ext>
            </c:extLst>
          </c:dPt>
          <c:dLbls>
            <c:dLbl>
              <c:idx val="4"/>
              <c:layout>
                <c:manualLayout>
                  <c:x val="-1.4573398750681102E-2"/>
                  <c:y val="0.11458333333333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4B-4631-927B-909C658314C9}"/>
                </c:ext>
              </c:extLst>
            </c:dLbl>
            <c:dLbl>
              <c:idx val="6"/>
              <c:layout>
                <c:manualLayout>
                  <c:x val="-1.7488078500817256E-2"/>
                  <c:y val="0.130208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4B-4631-927B-909C658314C9}"/>
                </c:ext>
              </c:extLst>
            </c:dLbl>
            <c:dLbl>
              <c:idx val="7"/>
              <c:layout>
                <c:manualLayout>
                  <c:x val="-4.372019625204325E-2"/>
                  <c:y val="-0.14062500000000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4B-4631-927B-909C658314C9}"/>
                </c:ext>
              </c:extLst>
            </c:dLbl>
            <c:dLbl>
              <c:idx val="8"/>
              <c:layout>
                <c:manualLayout>
                  <c:x val="0"/>
                  <c:y val="6.24999999999999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4B-4631-927B-909C658314C9}"/>
                </c:ext>
              </c:extLst>
            </c:dLbl>
            <c:dLbl>
              <c:idx val="9"/>
              <c:layout>
                <c:manualLayout>
                  <c:x val="-2.3317438001089676E-2"/>
                  <c:y val="9.89583333333332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4B-4631-927B-909C658314C9}"/>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Pivot!$I$3</c:f>
              <c:numCache>
                <c:formatCode>"$"#,##0,\K</c:formatCode>
                <c:ptCount val="12"/>
                <c:pt idx="0">
                  <c:v>41958.350000000006</c:v>
                </c:pt>
                <c:pt idx="1">
                  <c:v>42481.460000000006</c:v>
                </c:pt>
                <c:pt idx="2">
                  <c:v>43231.490000000005</c:v>
                </c:pt>
                <c:pt idx="3">
                  <c:v>42593.179999999993</c:v>
                </c:pt>
                <c:pt idx="4">
                  <c:v>41922.54</c:v>
                </c:pt>
                <c:pt idx="5">
                  <c:v>41840.680000000008</c:v>
                </c:pt>
                <c:pt idx="6">
                  <c:v>41886.849999999991</c:v>
                </c:pt>
                <c:pt idx="7">
                  <c:v>42025.91</c:v>
                </c:pt>
                <c:pt idx="8">
                  <c:v>42169.960000000006</c:v>
                </c:pt>
                <c:pt idx="9">
                  <c:v>42936.229999999996</c:v>
                </c:pt>
                <c:pt idx="10">
                  <c:v>43263.180000000008</c:v>
                </c:pt>
                <c:pt idx="11">
                  <c:v>42894.94999999999</c:v>
                </c:pt>
              </c:numCache>
            </c:numRef>
          </c:val>
          <c:smooth val="0"/>
          <c:extLst>
            <c:ext xmlns:c16="http://schemas.microsoft.com/office/drawing/2014/chart" uri="{C3380CC4-5D6E-409C-BE32-E72D297353CC}">
              <c16:uniqueId val="{00000000-014B-4631-927B-909C658314C9}"/>
            </c:ext>
          </c:extLst>
        </c:ser>
        <c:dLbls>
          <c:showLegendKey val="0"/>
          <c:showVal val="0"/>
          <c:showCatName val="0"/>
          <c:showSerName val="0"/>
          <c:showPercent val="0"/>
          <c:showBubbleSize val="0"/>
        </c:dLbls>
        <c:marker val="1"/>
        <c:smooth val="0"/>
        <c:axId val="712774944"/>
        <c:axId val="712775424"/>
      </c:lineChart>
      <c:catAx>
        <c:axId val="71277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12775424"/>
        <c:crosses val="autoZero"/>
        <c:auto val="1"/>
        <c:lblAlgn val="ctr"/>
        <c:lblOffset val="100"/>
        <c:noMultiLvlLbl val="0"/>
      </c:catAx>
      <c:valAx>
        <c:axId val="712775424"/>
        <c:scaling>
          <c:orientation val="minMax"/>
        </c:scaling>
        <c:delete val="1"/>
        <c:axPos val="l"/>
        <c:numFmt formatCode="&quot;$&quot;#,##0,\K" sourceLinked="1"/>
        <c:majorTickMark val="none"/>
        <c:minorTickMark val="none"/>
        <c:tickLblPos val="nextTo"/>
        <c:crossAx val="7127749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1" i="0" u="none" strike="noStrike" baseline="0">
                <a:solidFill>
                  <a:schemeClr val="bg1"/>
                </a:solidFill>
                <a:latin typeface="Aptos Narrow" panose="02110004020202020204"/>
              </a:rPr>
              <a:t>Average Call Duration per Month</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Pivot!$P$19:$P$30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Pivot!$Q$19:$Q$30</c:f>
              <c:numCache>
                <c:formatCode>0</c:formatCode>
                <c:ptCount val="12"/>
                <c:pt idx="0">
                  <c:v>332.55300000000005</c:v>
                </c:pt>
                <c:pt idx="1">
                  <c:v>328.76349999999996</c:v>
                </c:pt>
                <c:pt idx="2">
                  <c:v>332.97200000000004</c:v>
                </c:pt>
                <c:pt idx="3">
                  <c:v>337.24149999999997</c:v>
                </c:pt>
                <c:pt idx="4">
                  <c:v>335.28550000000001</c:v>
                </c:pt>
                <c:pt idx="5">
                  <c:v>331.73149999999998</c:v>
                </c:pt>
                <c:pt idx="6">
                  <c:v>328.43450000000001</c:v>
                </c:pt>
                <c:pt idx="7">
                  <c:v>332.95249999999999</c:v>
                </c:pt>
                <c:pt idx="8">
                  <c:v>333.73699999999997</c:v>
                </c:pt>
                <c:pt idx="9">
                  <c:v>332.65999999999997</c:v>
                </c:pt>
                <c:pt idx="10">
                  <c:v>331.62999999999994</c:v>
                </c:pt>
                <c:pt idx="11">
                  <c:v>327.77449999999999</c:v>
                </c:pt>
              </c:numCache>
            </c:numRef>
          </c:val>
          <c:extLst>
            <c:ext xmlns:c16="http://schemas.microsoft.com/office/drawing/2014/chart" uri="{C3380CC4-5D6E-409C-BE32-E72D297353CC}">
              <c16:uniqueId val="{00000000-7C48-4FFB-802D-EA41D0517338}"/>
            </c:ext>
          </c:extLst>
        </c:ser>
        <c:dLbls>
          <c:showLegendKey val="0"/>
          <c:showVal val="1"/>
          <c:showCatName val="0"/>
          <c:showSerName val="0"/>
          <c:showPercent val="0"/>
          <c:showBubbleSize val="0"/>
        </c:dLbls>
        <c:gapWidth val="6"/>
        <c:axId val="830759200"/>
        <c:axId val="830780800"/>
      </c:barChart>
      <c:catAx>
        <c:axId val="83075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baseline="0">
                <a:solidFill>
                  <a:schemeClr val="bg1"/>
                </a:solidFill>
                <a:latin typeface="+mn-lt"/>
                <a:ea typeface="+mn-ea"/>
                <a:cs typeface="+mn-cs"/>
              </a:defRPr>
            </a:pPr>
            <a:endParaRPr lang="en-US"/>
          </a:p>
        </c:txPr>
        <c:crossAx val="830780800"/>
        <c:crosses val="autoZero"/>
        <c:auto val="1"/>
        <c:lblAlgn val="ctr"/>
        <c:lblOffset val="100"/>
        <c:noMultiLvlLbl val="0"/>
      </c:catAx>
      <c:valAx>
        <c:axId val="830780800"/>
        <c:scaling>
          <c:orientation val="minMax"/>
        </c:scaling>
        <c:delete val="1"/>
        <c:axPos val="l"/>
        <c:numFmt formatCode="0" sourceLinked="1"/>
        <c:majorTickMark val="none"/>
        <c:minorTickMark val="none"/>
        <c:tickLblPos val="nextTo"/>
        <c:crossAx val="83075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Agent Performance Data - Dashboard.xlsx]Pivot!PivotTable8</c:name>
    <c:fmtId val="5"/>
  </c:pivotSource>
  <c:chart>
    <c:title>
      <c:tx>
        <c:strRef>
          <c:f>Pivot!$L$3</c:f>
          <c:strCache>
            <c:ptCount val="1"/>
            <c:pt idx="0">
              <c:v>Call Reached vs Deal Closed</c:v>
            </c:pt>
          </c:strCache>
        </c:strRef>
      </c:tx>
      <c:layout>
        <c:manualLayout>
          <c:xMode val="edge"/>
          <c:yMode val="edge"/>
          <c:x val="0.27232171840588892"/>
          <c:y val="3.0075187969924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c:f>
              <c:strCache>
                <c:ptCount val="1"/>
                <c:pt idx="0">
                  <c:v>Sum of Calls Reached</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Pivot!$L$3</c:f>
              <c:numCache>
                <c:formatCode>General</c:formatCode>
                <c:ptCount val="12"/>
                <c:pt idx="0">
                  <c:v>247</c:v>
                </c:pt>
                <c:pt idx="1">
                  <c:v>262</c:v>
                </c:pt>
                <c:pt idx="2">
                  <c:v>250</c:v>
                </c:pt>
                <c:pt idx="3">
                  <c:v>247</c:v>
                </c:pt>
                <c:pt idx="4">
                  <c:v>258</c:v>
                </c:pt>
                <c:pt idx="5">
                  <c:v>256</c:v>
                </c:pt>
                <c:pt idx="6">
                  <c:v>242</c:v>
                </c:pt>
                <c:pt idx="7">
                  <c:v>249</c:v>
                </c:pt>
                <c:pt idx="8">
                  <c:v>255</c:v>
                </c:pt>
                <c:pt idx="9">
                  <c:v>252</c:v>
                </c:pt>
                <c:pt idx="10">
                  <c:v>252</c:v>
                </c:pt>
                <c:pt idx="11">
                  <c:v>246</c:v>
                </c:pt>
              </c:numCache>
            </c:numRef>
          </c:val>
          <c:extLst>
            <c:ext xmlns:c16="http://schemas.microsoft.com/office/drawing/2014/chart" uri="{C3380CC4-5D6E-409C-BE32-E72D297353CC}">
              <c16:uniqueId val="{00000000-369F-4CF8-A9E4-374BB212CE17}"/>
            </c:ext>
          </c:extLst>
        </c:ser>
        <c:ser>
          <c:idx val="1"/>
          <c:order val="1"/>
          <c:tx>
            <c:strRef>
              <c:f>Pivot!$L$3</c:f>
              <c:strCache>
                <c:ptCount val="1"/>
                <c:pt idx="0">
                  <c:v>Sum of Deals Closed</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Pivot!$L$3</c:f>
              <c:numCache>
                <c:formatCode>General</c:formatCode>
                <c:ptCount val="12"/>
                <c:pt idx="0">
                  <c:v>87</c:v>
                </c:pt>
                <c:pt idx="1">
                  <c:v>88</c:v>
                </c:pt>
                <c:pt idx="2">
                  <c:v>82</c:v>
                </c:pt>
                <c:pt idx="3">
                  <c:v>84</c:v>
                </c:pt>
                <c:pt idx="4">
                  <c:v>81</c:v>
                </c:pt>
                <c:pt idx="5">
                  <c:v>81</c:v>
                </c:pt>
                <c:pt idx="6">
                  <c:v>82</c:v>
                </c:pt>
                <c:pt idx="7">
                  <c:v>71</c:v>
                </c:pt>
                <c:pt idx="8">
                  <c:v>78</c:v>
                </c:pt>
                <c:pt idx="9">
                  <c:v>79</c:v>
                </c:pt>
                <c:pt idx="10">
                  <c:v>80</c:v>
                </c:pt>
                <c:pt idx="11">
                  <c:v>83</c:v>
                </c:pt>
              </c:numCache>
            </c:numRef>
          </c:val>
          <c:extLst>
            <c:ext xmlns:c16="http://schemas.microsoft.com/office/drawing/2014/chart" uri="{C3380CC4-5D6E-409C-BE32-E72D297353CC}">
              <c16:uniqueId val="{00000001-369F-4CF8-A9E4-374BB212CE17}"/>
            </c:ext>
          </c:extLst>
        </c:ser>
        <c:dLbls>
          <c:showLegendKey val="0"/>
          <c:showVal val="0"/>
          <c:showCatName val="0"/>
          <c:showSerName val="0"/>
          <c:showPercent val="0"/>
          <c:showBubbleSize val="0"/>
        </c:dLbls>
        <c:gapWidth val="44"/>
        <c:overlap val="100"/>
        <c:axId val="830780800"/>
        <c:axId val="830758240"/>
      </c:barChart>
      <c:catAx>
        <c:axId val="83078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30758240"/>
        <c:crosses val="autoZero"/>
        <c:auto val="1"/>
        <c:lblAlgn val="ctr"/>
        <c:lblOffset val="100"/>
        <c:noMultiLvlLbl val="0"/>
      </c:catAx>
      <c:valAx>
        <c:axId val="830758240"/>
        <c:scaling>
          <c:orientation val="minMax"/>
        </c:scaling>
        <c:delete val="1"/>
        <c:axPos val="l"/>
        <c:numFmt formatCode="General" sourceLinked="1"/>
        <c:majorTickMark val="none"/>
        <c:minorTickMark val="none"/>
        <c:tickLblPos val="nextTo"/>
        <c:crossAx val="830780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Average Call Drop per Month</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Aptos Narrow" panose="02110004020202020204"/>
            </a:rPr>
            <a:t>Average Call Drop per Month</a:t>
          </a:r>
        </a:p>
      </cx:txPr>
    </cx:title>
    <cx:plotArea>
      <cx:plotAreaRegion>
        <cx:series layoutId="funnel" uniqueId="{C6C2AE02-4A21-49A3-830A-FAC950638EFE}">
          <cx:spPr>
            <a:solidFill>
              <a:srgbClr val="FFFF00"/>
            </a:solidFill>
          </cx:spPr>
          <cx:dataLabels>
            <cx:txPr>
              <a:bodyPr spcFirstLastPara="1" vertOverflow="ellipsis" horzOverflow="overflow" wrap="square" lIns="0" tIns="0" rIns="0" bIns="0" anchor="ctr" anchorCtr="1"/>
              <a:lstStyle/>
              <a:p>
                <a:pPr algn="ctr" rtl="0">
                  <a:defRPr sz="900"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image" Target="../media/image15.png"/><Relationship Id="rId4" Type="http://schemas.microsoft.com/office/2014/relationships/chartEx" Target="../charts/chartEx1.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18184</xdr:rowOff>
    </xdr:from>
    <xdr:to>
      <xdr:col>18</xdr:col>
      <xdr:colOff>152400</xdr:colOff>
      <xdr:row>34</xdr:row>
      <xdr:rowOff>171450</xdr:rowOff>
    </xdr:to>
    <xdr:sp macro="" textlink="">
      <xdr:nvSpPr>
        <xdr:cNvPr id="2" name="Rectangle 1">
          <a:extLst>
            <a:ext uri="{FF2B5EF4-FFF2-40B4-BE49-F238E27FC236}">
              <a16:creationId xmlns:a16="http://schemas.microsoft.com/office/drawing/2014/main" id="{7C6116DF-2744-5A81-36D9-7FEEA49D52C1}"/>
            </a:ext>
          </a:extLst>
        </xdr:cNvPr>
        <xdr:cNvSpPr/>
      </xdr:nvSpPr>
      <xdr:spPr>
        <a:xfrm>
          <a:off x="0" y="18184"/>
          <a:ext cx="12487275" cy="6706466"/>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38101</xdr:colOff>
      <xdr:row>0</xdr:row>
      <xdr:rowOff>57151</xdr:rowOff>
    </xdr:from>
    <xdr:to>
      <xdr:col>1</xdr:col>
      <xdr:colOff>424297</xdr:colOff>
      <xdr:row>33</xdr:row>
      <xdr:rowOff>161925</xdr:rowOff>
    </xdr:to>
    <xdr:sp macro="" textlink="">
      <xdr:nvSpPr>
        <xdr:cNvPr id="3" name="Rectangle: Rounded Corners 2">
          <a:extLst>
            <a:ext uri="{FF2B5EF4-FFF2-40B4-BE49-F238E27FC236}">
              <a16:creationId xmlns:a16="http://schemas.microsoft.com/office/drawing/2014/main" id="{078CA877-54F9-91D2-5DF6-05C5354E036A}"/>
            </a:ext>
          </a:extLst>
        </xdr:cNvPr>
        <xdr:cNvSpPr/>
      </xdr:nvSpPr>
      <xdr:spPr>
        <a:xfrm>
          <a:off x="38101" y="57151"/>
          <a:ext cx="995796" cy="64674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507433</xdr:colOff>
      <xdr:row>0</xdr:row>
      <xdr:rowOff>45456</xdr:rowOff>
    </xdr:from>
    <xdr:to>
      <xdr:col>15</xdr:col>
      <xdr:colOff>323850</xdr:colOff>
      <xdr:row>3</xdr:row>
      <xdr:rowOff>112566</xdr:rowOff>
    </xdr:to>
    <xdr:sp macro="" textlink="">
      <xdr:nvSpPr>
        <xdr:cNvPr id="4" name="Rectangle: Rounded Corners 3">
          <a:extLst>
            <a:ext uri="{FF2B5EF4-FFF2-40B4-BE49-F238E27FC236}">
              <a16:creationId xmlns:a16="http://schemas.microsoft.com/office/drawing/2014/main" id="{DB7D7774-D775-952D-6934-22AE1078132C}"/>
            </a:ext>
          </a:extLst>
        </xdr:cNvPr>
        <xdr:cNvSpPr/>
      </xdr:nvSpPr>
      <xdr:spPr>
        <a:xfrm rot="16200000">
          <a:off x="4973137" y="-3810648"/>
          <a:ext cx="638610" cy="83508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278614</xdr:colOff>
      <xdr:row>0</xdr:row>
      <xdr:rowOff>9525</xdr:rowOff>
    </xdr:from>
    <xdr:to>
      <xdr:col>32</xdr:col>
      <xdr:colOff>535789</xdr:colOff>
      <xdr:row>0</xdr:row>
      <xdr:rowOff>9525</xdr:rowOff>
    </xdr:to>
    <xdr:sp macro="" textlink="">
      <xdr:nvSpPr>
        <xdr:cNvPr id="5" name="Rectangle: Rounded Corners 4">
          <a:extLst>
            <a:ext uri="{FF2B5EF4-FFF2-40B4-BE49-F238E27FC236}">
              <a16:creationId xmlns:a16="http://schemas.microsoft.com/office/drawing/2014/main" id="{AEFA42E4-FCB5-648D-0795-3554E05DDEC5}"/>
            </a:ext>
          </a:extLst>
        </xdr:cNvPr>
        <xdr:cNvSpPr/>
      </xdr:nvSpPr>
      <xdr:spPr>
        <a:xfrm rot="16200000">
          <a:off x="13818402" y="-5605463"/>
          <a:ext cx="0" cy="112299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548997</xdr:colOff>
      <xdr:row>3</xdr:row>
      <xdr:rowOff>177944</xdr:rowOff>
    </xdr:from>
    <xdr:to>
      <xdr:col>4</xdr:col>
      <xdr:colOff>311728</xdr:colOff>
      <xdr:row>7</xdr:row>
      <xdr:rowOff>155864</xdr:rowOff>
    </xdr:to>
    <xdr:sp macro="" textlink="">
      <xdr:nvSpPr>
        <xdr:cNvPr id="6" name="Rectangle: Rounded Corners 5">
          <a:extLst>
            <a:ext uri="{FF2B5EF4-FFF2-40B4-BE49-F238E27FC236}">
              <a16:creationId xmlns:a16="http://schemas.microsoft.com/office/drawing/2014/main" id="{62986081-B957-EAC4-AB6E-7D5F48859CBC}"/>
            </a:ext>
          </a:extLst>
        </xdr:cNvPr>
        <xdr:cNvSpPr/>
      </xdr:nvSpPr>
      <xdr:spPr>
        <a:xfrm rot="16200000">
          <a:off x="1575743" y="328834"/>
          <a:ext cx="739920" cy="1581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523885</xdr:colOff>
      <xdr:row>7</xdr:row>
      <xdr:rowOff>228600</xdr:rowOff>
    </xdr:from>
    <xdr:to>
      <xdr:col>8</xdr:col>
      <xdr:colOff>57153</xdr:colOff>
      <xdr:row>20</xdr:row>
      <xdr:rowOff>161923</xdr:rowOff>
    </xdr:to>
    <xdr:sp macro="" textlink="">
      <xdr:nvSpPr>
        <xdr:cNvPr id="8" name="Rectangle: Rounded Corners 7">
          <a:extLst>
            <a:ext uri="{FF2B5EF4-FFF2-40B4-BE49-F238E27FC236}">
              <a16:creationId xmlns:a16="http://schemas.microsoft.com/office/drawing/2014/main" id="{B9E0B3C6-BA79-471E-A88D-047D1FFF34D1}"/>
            </a:ext>
          </a:extLst>
        </xdr:cNvPr>
        <xdr:cNvSpPr/>
      </xdr:nvSpPr>
      <xdr:spPr>
        <a:xfrm rot="16200000">
          <a:off x="1790707" y="904878"/>
          <a:ext cx="2486023" cy="38004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400050</xdr:colOff>
      <xdr:row>8</xdr:row>
      <xdr:rowOff>28576</xdr:rowOff>
    </xdr:from>
    <xdr:to>
      <xdr:col>7</xdr:col>
      <xdr:colOff>541630</xdr:colOff>
      <xdr:row>19</xdr:row>
      <xdr:rowOff>47626</xdr:rowOff>
    </xdr:to>
    <xdr:graphicFrame macro="">
      <xdr:nvGraphicFramePr>
        <xdr:cNvPr id="7" name="Chart 6">
          <a:extLst>
            <a:ext uri="{FF2B5EF4-FFF2-40B4-BE49-F238E27FC236}">
              <a16:creationId xmlns:a16="http://schemas.microsoft.com/office/drawing/2014/main" id="{9C5DB38F-8CB0-4D4C-BCD1-7035D643C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152409</xdr:colOff>
      <xdr:row>7</xdr:row>
      <xdr:rowOff>228600</xdr:rowOff>
    </xdr:from>
    <xdr:to>
      <xdr:col>13</xdr:col>
      <xdr:colOff>533403</xdr:colOff>
      <xdr:row>20</xdr:row>
      <xdr:rowOff>104774</xdr:rowOff>
    </xdr:to>
    <xdr:sp macro="" textlink="">
      <xdr:nvSpPr>
        <xdr:cNvPr id="9" name="Rectangle: Rounded Corners 8">
          <a:extLst>
            <a:ext uri="{FF2B5EF4-FFF2-40B4-BE49-F238E27FC236}">
              <a16:creationId xmlns:a16="http://schemas.microsoft.com/office/drawing/2014/main" id="{769A4940-3157-37F2-D88A-17E6B925EBED}"/>
            </a:ext>
          </a:extLst>
        </xdr:cNvPr>
        <xdr:cNvSpPr/>
      </xdr:nvSpPr>
      <xdr:spPr>
        <a:xfrm rot="16200000">
          <a:off x="5529269" y="1062040"/>
          <a:ext cx="2428874" cy="34289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219075</xdr:colOff>
      <xdr:row>7</xdr:row>
      <xdr:rowOff>171450</xdr:rowOff>
    </xdr:from>
    <xdr:to>
      <xdr:col>13</xdr:col>
      <xdr:colOff>485775</xdr:colOff>
      <xdr:row>20</xdr:row>
      <xdr:rowOff>47624</xdr:rowOff>
    </xdr:to>
    <xdr:graphicFrame macro="">
      <xdr:nvGraphicFramePr>
        <xdr:cNvPr id="10" name="Chart 9">
          <a:extLst>
            <a:ext uri="{FF2B5EF4-FFF2-40B4-BE49-F238E27FC236}">
              <a16:creationId xmlns:a16="http://schemas.microsoft.com/office/drawing/2014/main" id="{217DA6B1-4266-4C18-8B90-BA1E1315B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514361</xdr:colOff>
      <xdr:row>21</xdr:row>
      <xdr:rowOff>61905</xdr:rowOff>
    </xdr:from>
    <xdr:to>
      <xdr:col>8</xdr:col>
      <xdr:colOff>533401</xdr:colOff>
      <xdr:row>34</xdr:row>
      <xdr:rowOff>38102</xdr:rowOff>
    </xdr:to>
    <xdr:sp macro="" textlink="">
      <xdr:nvSpPr>
        <xdr:cNvPr id="12" name="Rectangle: Rounded Corners 11">
          <a:extLst>
            <a:ext uri="{FF2B5EF4-FFF2-40B4-BE49-F238E27FC236}">
              <a16:creationId xmlns:a16="http://schemas.microsoft.com/office/drawing/2014/main" id="{F26A027B-E56F-A1E2-2107-D01C6AAD7DD2}"/>
            </a:ext>
          </a:extLst>
        </xdr:cNvPr>
        <xdr:cNvSpPr/>
      </xdr:nvSpPr>
      <xdr:spPr>
        <a:xfrm rot="16200000">
          <a:off x="2040732" y="3221834"/>
          <a:ext cx="2452697" cy="4286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485775</xdr:colOff>
      <xdr:row>21</xdr:row>
      <xdr:rowOff>19051</xdr:rowOff>
    </xdr:from>
    <xdr:to>
      <xdr:col>8</xdr:col>
      <xdr:colOff>361950</xdr:colOff>
      <xdr:row>34</xdr:row>
      <xdr:rowOff>76201</xdr:rowOff>
    </xdr:to>
    <xdr:graphicFrame macro="">
      <xdr:nvGraphicFramePr>
        <xdr:cNvPr id="11" name="Chart 10">
          <a:extLst>
            <a:ext uri="{FF2B5EF4-FFF2-40B4-BE49-F238E27FC236}">
              <a16:creationId xmlns:a16="http://schemas.microsoft.com/office/drawing/2014/main" id="{F37B7797-AA6F-4308-803F-6211ABDE3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600086</xdr:colOff>
      <xdr:row>20</xdr:row>
      <xdr:rowOff>147633</xdr:rowOff>
    </xdr:from>
    <xdr:to>
      <xdr:col>13</xdr:col>
      <xdr:colOff>342900</xdr:colOff>
      <xdr:row>34</xdr:row>
      <xdr:rowOff>104775</xdr:rowOff>
    </xdr:to>
    <xdr:sp macro="" textlink="">
      <xdr:nvSpPr>
        <xdr:cNvPr id="15" name="Rectangle: Rounded Corners 14">
          <a:extLst>
            <a:ext uri="{FF2B5EF4-FFF2-40B4-BE49-F238E27FC236}">
              <a16:creationId xmlns:a16="http://schemas.microsoft.com/office/drawing/2014/main" id="{892723A5-082E-F2D9-E027-5595C857898D}"/>
            </a:ext>
          </a:extLst>
        </xdr:cNvPr>
        <xdr:cNvSpPr/>
      </xdr:nvSpPr>
      <xdr:spPr>
        <a:xfrm rot="16200000">
          <a:off x="5560222" y="3950497"/>
          <a:ext cx="2624142" cy="27908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66675</xdr:colOff>
      <xdr:row>20</xdr:row>
      <xdr:rowOff>180975</xdr:rowOff>
    </xdr:from>
    <xdr:to>
      <xdr:col>13</xdr:col>
      <xdr:colOff>390525</xdr:colOff>
      <xdr:row>34</xdr:row>
      <xdr:rowOff>85724</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9B6A3E3E-4132-46B1-826C-EDA9EE7385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553075" y="4067175"/>
              <a:ext cx="2762250" cy="25717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103909</xdr:colOff>
      <xdr:row>0</xdr:row>
      <xdr:rowOff>160564</xdr:rowOff>
    </xdr:from>
    <xdr:to>
      <xdr:col>1</xdr:col>
      <xdr:colOff>372340</xdr:colOff>
      <xdr:row>32</xdr:row>
      <xdr:rowOff>130258</xdr:rowOff>
    </xdr:to>
    <mc:AlternateContent xmlns:mc="http://schemas.openxmlformats.org/markup-compatibility/2006" xmlns:a14="http://schemas.microsoft.com/office/drawing/2010/main">
      <mc:Choice Requires="a14">
        <xdr:graphicFrame macro="">
          <xdr:nvGraphicFramePr>
            <xdr:cNvPr id="16" name="Name">
              <a:extLst>
                <a:ext uri="{FF2B5EF4-FFF2-40B4-BE49-F238E27FC236}">
                  <a16:creationId xmlns:a16="http://schemas.microsoft.com/office/drawing/2014/main" id="{72D9CA8C-5AE9-4A41-98E0-C7A207E0F75D}"/>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03909" y="160564"/>
              <a:ext cx="878031" cy="614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594026</xdr:colOff>
      <xdr:row>3</xdr:row>
      <xdr:rowOff>188335</xdr:rowOff>
    </xdr:from>
    <xdr:to>
      <xdr:col>12</xdr:col>
      <xdr:colOff>438150</xdr:colOff>
      <xdr:row>7</xdr:row>
      <xdr:rowOff>166255</xdr:rowOff>
    </xdr:to>
    <xdr:sp macro="" textlink="">
      <xdr:nvSpPr>
        <xdr:cNvPr id="21" name="Rectangle: Rounded Corners 20">
          <a:extLst>
            <a:ext uri="{FF2B5EF4-FFF2-40B4-BE49-F238E27FC236}">
              <a16:creationId xmlns:a16="http://schemas.microsoft.com/office/drawing/2014/main" id="{882825DD-097B-1FD5-9A27-38E59D5E5041}"/>
            </a:ext>
          </a:extLst>
        </xdr:cNvPr>
        <xdr:cNvSpPr/>
      </xdr:nvSpPr>
      <xdr:spPr>
        <a:xfrm rot="16200000">
          <a:off x="6242128" y="-11467"/>
          <a:ext cx="739920" cy="22825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532549</xdr:colOff>
      <xdr:row>4</xdr:row>
      <xdr:rowOff>21213</xdr:rowOff>
    </xdr:from>
    <xdr:to>
      <xdr:col>15</xdr:col>
      <xdr:colOff>498768</xdr:colOff>
      <xdr:row>7</xdr:row>
      <xdr:rowOff>189633</xdr:rowOff>
    </xdr:to>
    <xdr:sp macro="" textlink="">
      <xdr:nvSpPr>
        <xdr:cNvPr id="22" name="Rectangle: Rounded Corners 21">
          <a:extLst>
            <a:ext uri="{FF2B5EF4-FFF2-40B4-BE49-F238E27FC236}">
              <a16:creationId xmlns:a16="http://schemas.microsoft.com/office/drawing/2014/main" id="{1F60A272-E8C7-33FE-0880-164296DA3EDE}"/>
            </a:ext>
          </a:extLst>
        </xdr:cNvPr>
        <xdr:cNvSpPr/>
      </xdr:nvSpPr>
      <xdr:spPr>
        <a:xfrm rot="16200000">
          <a:off x="8375299" y="255663"/>
          <a:ext cx="739920" cy="179501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225137</xdr:colOff>
      <xdr:row>3</xdr:row>
      <xdr:rowOff>138545</xdr:rowOff>
    </xdr:from>
    <xdr:to>
      <xdr:col>4</xdr:col>
      <xdr:colOff>363683</xdr:colOff>
      <xdr:row>5</xdr:row>
      <xdr:rowOff>129886</xdr:rowOff>
    </xdr:to>
    <xdr:sp macro="" textlink="">
      <xdr:nvSpPr>
        <xdr:cNvPr id="24" name="TextBox 23">
          <a:extLst>
            <a:ext uri="{FF2B5EF4-FFF2-40B4-BE49-F238E27FC236}">
              <a16:creationId xmlns:a16="http://schemas.microsoft.com/office/drawing/2014/main" id="{DBE603C9-DB33-2BE8-392F-936436839DD8}"/>
            </a:ext>
          </a:extLst>
        </xdr:cNvPr>
        <xdr:cNvSpPr txBox="1"/>
      </xdr:nvSpPr>
      <xdr:spPr>
        <a:xfrm>
          <a:off x="1437410" y="710045"/>
          <a:ext cx="1350818"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Call</a:t>
          </a:r>
          <a:endParaRPr lang="en-US" sz="1800" b="1">
            <a:solidFill>
              <a:schemeClr val="bg1"/>
            </a:solidFill>
          </a:endParaRPr>
        </a:p>
      </xdr:txBody>
    </xdr:sp>
    <xdr:clientData/>
  </xdr:twoCellAnchor>
  <xdr:twoCellAnchor editAs="oneCell">
    <xdr:from>
      <xdr:col>1</xdr:col>
      <xdr:colOff>502363</xdr:colOff>
      <xdr:row>4</xdr:row>
      <xdr:rowOff>21158</xdr:rowOff>
    </xdr:from>
    <xdr:to>
      <xdr:col>2</xdr:col>
      <xdr:colOff>513240</xdr:colOff>
      <xdr:row>7</xdr:row>
      <xdr:rowOff>66672</xdr:rowOff>
    </xdr:to>
    <xdr:pic>
      <xdr:nvPicPr>
        <xdr:cNvPr id="37" name="Graphic 36" descr="Receiver with solid fill">
          <a:extLst>
            <a:ext uri="{FF2B5EF4-FFF2-40B4-BE49-F238E27FC236}">
              <a16:creationId xmlns:a16="http://schemas.microsoft.com/office/drawing/2014/main" id="{75CF548D-B035-4CBF-A009-A205EC88D2E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2600140">
          <a:off x="1108499" y="783158"/>
          <a:ext cx="617014" cy="617014"/>
        </a:xfrm>
        <a:prstGeom prst="rect">
          <a:avLst/>
        </a:prstGeom>
      </xdr:spPr>
    </xdr:pic>
    <xdr:clientData/>
  </xdr:twoCellAnchor>
  <xdr:twoCellAnchor>
    <xdr:from>
      <xdr:col>2</xdr:col>
      <xdr:colOff>135082</xdr:colOff>
      <xdr:row>5</xdr:row>
      <xdr:rowOff>83127</xdr:rowOff>
    </xdr:from>
    <xdr:to>
      <xdr:col>4</xdr:col>
      <xdr:colOff>273628</xdr:colOff>
      <xdr:row>7</xdr:row>
      <xdr:rowOff>74468</xdr:rowOff>
    </xdr:to>
    <xdr:sp macro="" textlink="Pivot!A6">
      <xdr:nvSpPr>
        <xdr:cNvPr id="38" name="TextBox 37">
          <a:extLst>
            <a:ext uri="{FF2B5EF4-FFF2-40B4-BE49-F238E27FC236}">
              <a16:creationId xmlns:a16="http://schemas.microsoft.com/office/drawing/2014/main" id="{1D5B176D-28A1-C3AE-6CB5-D1C53CA6F332}"/>
            </a:ext>
          </a:extLst>
        </xdr:cNvPr>
        <xdr:cNvSpPr txBox="1"/>
      </xdr:nvSpPr>
      <xdr:spPr>
        <a:xfrm>
          <a:off x="1347355" y="1035627"/>
          <a:ext cx="1350818"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068719-FDF3-41AA-969E-BFE86DBEC695}" type="TxLink">
            <a:rPr lang="en-US" sz="2000" b="1" i="0" u="none" strike="noStrike">
              <a:solidFill>
                <a:schemeClr val="bg1"/>
              </a:solidFill>
              <a:latin typeface="Aptos Narrow"/>
            </a:rPr>
            <a:pPr algn="ctr"/>
            <a:t>14808</a:t>
          </a:fld>
          <a:endParaRPr lang="en-US" sz="3600" b="1">
            <a:solidFill>
              <a:schemeClr val="bg1"/>
            </a:solidFill>
          </a:endParaRPr>
        </a:p>
      </xdr:txBody>
    </xdr:sp>
    <xdr:clientData/>
  </xdr:twoCellAnchor>
  <xdr:twoCellAnchor>
    <xdr:from>
      <xdr:col>4</xdr:col>
      <xdr:colOff>398333</xdr:colOff>
      <xdr:row>3</xdr:row>
      <xdr:rowOff>174480</xdr:rowOff>
    </xdr:from>
    <xdr:to>
      <xdr:col>8</xdr:col>
      <xdr:colOff>510887</xdr:colOff>
      <xdr:row>7</xdr:row>
      <xdr:rowOff>152400</xdr:rowOff>
    </xdr:to>
    <xdr:sp macro="" textlink="">
      <xdr:nvSpPr>
        <xdr:cNvPr id="39" name="Rectangle: Rounded Corners 38">
          <a:extLst>
            <a:ext uri="{FF2B5EF4-FFF2-40B4-BE49-F238E27FC236}">
              <a16:creationId xmlns:a16="http://schemas.microsoft.com/office/drawing/2014/main" id="{48811C19-71E2-C09D-98B3-F7E734AD3CA6}"/>
            </a:ext>
          </a:extLst>
        </xdr:cNvPr>
        <xdr:cNvSpPr/>
      </xdr:nvSpPr>
      <xdr:spPr>
        <a:xfrm rot="16200000">
          <a:off x="3721468" y="-152610"/>
          <a:ext cx="739920" cy="2537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303081</xdr:colOff>
      <xdr:row>3</xdr:row>
      <xdr:rowOff>87889</xdr:rowOff>
    </xdr:from>
    <xdr:to>
      <xdr:col>6</xdr:col>
      <xdr:colOff>5208</xdr:colOff>
      <xdr:row>7</xdr:row>
      <xdr:rowOff>240289</xdr:rowOff>
    </xdr:to>
    <xdr:pic>
      <xdr:nvPicPr>
        <xdr:cNvPr id="40" name="Graphic 39" descr="Speaker phone with solid fill">
          <a:extLst>
            <a:ext uri="{FF2B5EF4-FFF2-40B4-BE49-F238E27FC236}">
              <a16:creationId xmlns:a16="http://schemas.microsoft.com/office/drawing/2014/main" id="{B870B9A3-AAD5-43D9-BFB0-F8EE1856C5D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2362254">
          <a:off x="2727626" y="659389"/>
          <a:ext cx="914400" cy="914400"/>
        </a:xfrm>
        <a:prstGeom prst="rect">
          <a:avLst/>
        </a:prstGeom>
      </xdr:spPr>
    </xdr:pic>
    <xdr:clientData/>
  </xdr:twoCellAnchor>
  <xdr:twoCellAnchor>
    <xdr:from>
      <xdr:col>5</xdr:col>
      <xdr:colOff>285764</xdr:colOff>
      <xdr:row>3</xdr:row>
      <xdr:rowOff>122525</xdr:rowOff>
    </xdr:from>
    <xdr:to>
      <xdr:col>9</xdr:col>
      <xdr:colOff>25979</xdr:colOff>
      <xdr:row>5</xdr:row>
      <xdr:rowOff>113866</xdr:rowOff>
    </xdr:to>
    <xdr:sp macro="" textlink="">
      <xdr:nvSpPr>
        <xdr:cNvPr id="41" name="TextBox 40">
          <a:extLst>
            <a:ext uri="{FF2B5EF4-FFF2-40B4-BE49-F238E27FC236}">
              <a16:creationId xmlns:a16="http://schemas.microsoft.com/office/drawing/2014/main" id="{58CCF42D-7D4D-4A6C-A3B3-1FC68220F66B}"/>
            </a:ext>
          </a:extLst>
        </xdr:cNvPr>
        <xdr:cNvSpPr txBox="1"/>
      </xdr:nvSpPr>
      <xdr:spPr>
        <a:xfrm>
          <a:off x="3316446" y="694025"/>
          <a:ext cx="2164760"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Call Reached</a:t>
          </a:r>
          <a:endParaRPr lang="en-US" sz="1800" b="1">
            <a:solidFill>
              <a:schemeClr val="bg1"/>
            </a:solidFill>
          </a:endParaRPr>
        </a:p>
      </xdr:txBody>
    </xdr:sp>
    <xdr:clientData/>
  </xdr:twoCellAnchor>
  <xdr:twoCellAnchor>
    <xdr:from>
      <xdr:col>5</xdr:col>
      <xdr:colOff>581892</xdr:colOff>
      <xdr:row>5</xdr:row>
      <xdr:rowOff>53687</xdr:rowOff>
    </xdr:from>
    <xdr:to>
      <xdr:col>8</xdr:col>
      <xdr:colOff>114301</xdr:colOff>
      <xdr:row>7</xdr:row>
      <xdr:rowOff>45028</xdr:rowOff>
    </xdr:to>
    <xdr:sp macro="" textlink="Pivot!C6">
      <xdr:nvSpPr>
        <xdr:cNvPr id="42" name="TextBox 41">
          <a:extLst>
            <a:ext uri="{FF2B5EF4-FFF2-40B4-BE49-F238E27FC236}">
              <a16:creationId xmlns:a16="http://schemas.microsoft.com/office/drawing/2014/main" id="{19A2C1C0-C873-5A6C-A746-9B2ECC63030A}"/>
            </a:ext>
          </a:extLst>
        </xdr:cNvPr>
        <xdr:cNvSpPr txBox="1"/>
      </xdr:nvSpPr>
      <xdr:spPr>
        <a:xfrm>
          <a:off x="3612574" y="1006187"/>
          <a:ext cx="1350818"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6C58107-023D-4DF9-A726-A405EB0DC439}" type="TxLink">
            <a:rPr lang="en-US" sz="2000" b="1" i="0" u="none" strike="noStrike">
              <a:solidFill>
                <a:schemeClr val="bg1"/>
              </a:solidFill>
              <a:latin typeface="Aptos Narrow"/>
              <a:ea typeface="+mn-ea"/>
              <a:cs typeface="+mn-cs"/>
            </a:rPr>
            <a:pPr marL="0" indent="0" algn="ctr"/>
            <a:t>3016</a:t>
          </a:fld>
          <a:endParaRPr lang="en-US" sz="2000" b="1" i="0" u="none" strike="noStrike">
            <a:solidFill>
              <a:schemeClr val="bg1"/>
            </a:solidFill>
            <a:latin typeface="Aptos Narrow"/>
            <a:ea typeface="+mn-ea"/>
            <a:cs typeface="+mn-cs"/>
          </a:endParaRPr>
        </a:p>
      </xdr:txBody>
    </xdr:sp>
    <xdr:clientData/>
  </xdr:twoCellAnchor>
  <xdr:twoCellAnchor editAs="oneCell">
    <xdr:from>
      <xdr:col>8</xdr:col>
      <xdr:colOff>538606</xdr:colOff>
      <xdr:row>3</xdr:row>
      <xdr:rowOff>182273</xdr:rowOff>
    </xdr:from>
    <xdr:to>
      <xdr:col>10</xdr:col>
      <xdr:colOff>38544</xdr:colOff>
      <xdr:row>7</xdr:row>
      <xdr:rowOff>132484</xdr:rowOff>
    </xdr:to>
    <xdr:pic>
      <xdr:nvPicPr>
        <xdr:cNvPr id="43" name="Graphic 42" descr="Call center with solid fill">
          <a:extLst>
            <a:ext uri="{FF2B5EF4-FFF2-40B4-BE49-F238E27FC236}">
              <a16:creationId xmlns:a16="http://schemas.microsoft.com/office/drawing/2014/main" id="{6B016753-516A-479D-9955-2CD80E479E5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415406" y="753773"/>
          <a:ext cx="719138" cy="712211"/>
        </a:xfrm>
        <a:prstGeom prst="rect">
          <a:avLst/>
        </a:prstGeom>
      </xdr:spPr>
    </xdr:pic>
    <xdr:clientData/>
  </xdr:twoCellAnchor>
  <xdr:twoCellAnchor>
    <xdr:from>
      <xdr:col>9</xdr:col>
      <xdr:colOff>294423</xdr:colOff>
      <xdr:row>3</xdr:row>
      <xdr:rowOff>153697</xdr:rowOff>
    </xdr:from>
    <xdr:to>
      <xdr:col>13</xdr:col>
      <xdr:colOff>34637</xdr:colOff>
      <xdr:row>5</xdr:row>
      <xdr:rowOff>145038</xdr:rowOff>
    </xdr:to>
    <xdr:sp macro="" textlink="">
      <xdr:nvSpPr>
        <xdr:cNvPr id="44" name="TextBox 43">
          <a:extLst>
            <a:ext uri="{FF2B5EF4-FFF2-40B4-BE49-F238E27FC236}">
              <a16:creationId xmlns:a16="http://schemas.microsoft.com/office/drawing/2014/main" id="{F473CD40-9DA3-66EF-BF85-894CE504F5A0}"/>
            </a:ext>
          </a:extLst>
        </xdr:cNvPr>
        <xdr:cNvSpPr txBox="1"/>
      </xdr:nvSpPr>
      <xdr:spPr>
        <a:xfrm>
          <a:off x="5780823" y="725197"/>
          <a:ext cx="2178614"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Deal Closed</a:t>
          </a:r>
          <a:endParaRPr lang="en-US" sz="1800" b="1">
            <a:solidFill>
              <a:schemeClr val="bg1"/>
            </a:solidFill>
          </a:endParaRPr>
        </a:p>
      </xdr:txBody>
    </xdr:sp>
    <xdr:clientData/>
  </xdr:twoCellAnchor>
  <xdr:twoCellAnchor>
    <xdr:from>
      <xdr:col>9</xdr:col>
      <xdr:colOff>594015</xdr:colOff>
      <xdr:row>5</xdr:row>
      <xdr:rowOff>119496</xdr:rowOff>
    </xdr:from>
    <xdr:to>
      <xdr:col>12</xdr:col>
      <xdr:colOff>122961</xdr:colOff>
      <xdr:row>7</xdr:row>
      <xdr:rowOff>110837</xdr:rowOff>
    </xdr:to>
    <xdr:sp macro="" textlink="Pivot!E6">
      <xdr:nvSpPr>
        <xdr:cNvPr id="45" name="TextBox 44">
          <a:extLst>
            <a:ext uri="{FF2B5EF4-FFF2-40B4-BE49-F238E27FC236}">
              <a16:creationId xmlns:a16="http://schemas.microsoft.com/office/drawing/2014/main" id="{3505E259-CA49-8967-881C-15585D06C654}"/>
            </a:ext>
          </a:extLst>
        </xdr:cNvPr>
        <xdr:cNvSpPr txBox="1"/>
      </xdr:nvSpPr>
      <xdr:spPr>
        <a:xfrm>
          <a:off x="6080415" y="1071996"/>
          <a:ext cx="1357746"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9F1E54-0951-4A4B-B548-50936341AA79}" type="TxLink">
            <a:rPr lang="en-US" sz="2000" b="1" i="0" u="none" strike="noStrike">
              <a:solidFill>
                <a:schemeClr val="bg1"/>
              </a:solidFill>
              <a:latin typeface="Aptos Narrow"/>
              <a:ea typeface="+mn-ea"/>
              <a:cs typeface="+mn-cs"/>
            </a:rPr>
            <a:pPr marL="0" indent="0" algn="ctr"/>
            <a:t>976</a:t>
          </a:fld>
          <a:endParaRPr lang="en-US" sz="2000" b="1" i="0" u="none" strike="noStrike">
            <a:solidFill>
              <a:schemeClr val="bg1"/>
            </a:solidFill>
            <a:latin typeface="Aptos Narrow"/>
            <a:ea typeface="+mn-ea"/>
            <a:cs typeface="+mn-cs"/>
          </a:endParaRPr>
        </a:p>
      </xdr:txBody>
    </xdr:sp>
    <xdr:clientData/>
  </xdr:twoCellAnchor>
  <xdr:twoCellAnchor editAs="oneCell">
    <xdr:from>
      <xdr:col>12</xdr:col>
      <xdr:colOff>473665</xdr:colOff>
      <xdr:row>4</xdr:row>
      <xdr:rowOff>63643</xdr:rowOff>
    </xdr:from>
    <xdr:to>
      <xdr:col>13</xdr:col>
      <xdr:colOff>479294</xdr:colOff>
      <xdr:row>7</xdr:row>
      <xdr:rowOff>103908</xdr:rowOff>
    </xdr:to>
    <xdr:pic>
      <xdr:nvPicPr>
        <xdr:cNvPr id="46" name="Graphic 45" descr="Dollar with solid fill">
          <a:extLst>
            <a:ext uri="{FF2B5EF4-FFF2-40B4-BE49-F238E27FC236}">
              <a16:creationId xmlns:a16="http://schemas.microsoft.com/office/drawing/2014/main" id="{9E9E2003-8BD1-4D43-8ABF-7E323AF8685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88865" y="825643"/>
          <a:ext cx="615229" cy="611765"/>
        </a:xfrm>
        <a:prstGeom prst="rect">
          <a:avLst/>
        </a:prstGeom>
      </xdr:spPr>
    </xdr:pic>
    <xdr:clientData/>
  </xdr:twoCellAnchor>
  <xdr:twoCellAnchor>
    <xdr:from>
      <xdr:col>13</xdr:col>
      <xdr:colOff>131620</xdr:colOff>
      <xdr:row>3</xdr:row>
      <xdr:rowOff>142010</xdr:rowOff>
    </xdr:from>
    <xdr:to>
      <xdr:col>15</xdr:col>
      <xdr:colOff>536000</xdr:colOff>
      <xdr:row>5</xdr:row>
      <xdr:rowOff>133351</xdr:rowOff>
    </xdr:to>
    <xdr:sp macro="" textlink="">
      <xdr:nvSpPr>
        <xdr:cNvPr id="47" name="TextBox 46">
          <a:extLst>
            <a:ext uri="{FF2B5EF4-FFF2-40B4-BE49-F238E27FC236}">
              <a16:creationId xmlns:a16="http://schemas.microsoft.com/office/drawing/2014/main" id="{9E6B3ADB-6CE4-EC9C-EA1A-30A6F8F24AA2}"/>
            </a:ext>
          </a:extLst>
        </xdr:cNvPr>
        <xdr:cNvSpPr txBox="1"/>
      </xdr:nvSpPr>
      <xdr:spPr>
        <a:xfrm>
          <a:off x="8056420" y="713510"/>
          <a:ext cx="1623580"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Sale</a:t>
          </a:r>
          <a:endParaRPr lang="en-US" sz="1800" b="1">
            <a:solidFill>
              <a:schemeClr val="bg1"/>
            </a:solidFill>
          </a:endParaRPr>
        </a:p>
      </xdr:txBody>
    </xdr:sp>
    <xdr:clientData/>
  </xdr:twoCellAnchor>
  <xdr:twoCellAnchor>
    <xdr:from>
      <xdr:col>13</xdr:col>
      <xdr:colOff>19050</xdr:colOff>
      <xdr:row>5</xdr:row>
      <xdr:rowOff>107372</xdr:rowOff>
    </xdr:from>
    <xdr:to>
      <xdr:col>16</xdr:col>
      <xdr:colOff>121228</xdr:colOff>
      <xdr:row>7</xdr:row>
      <xdr:rowOff>98713</xdr:rowOff>
    </xdr:to>
    <xdr:sp macro="" textlink="Pivot!G6">
      <xdr:nvSpPr>
        <xdr:cNvPr id="48" name="TextBox 47">
          <a:extLst>
            <a:ext uri="{FF2B5EF4-FFF2-40B4-BE49-F238E27FC236}">
              <a16:creationId xmlns:a16="http://schemas.microsoft.com/office/drawing/2014/main" id="{34ED9AFD-BCEC-7FCD-94BB-E4AD987AEF59}"/>
            </a:ext>
          </a:extLst>
        </xdr:cNvPr>
        <xdr:cNvSpPr txBox="1"/>
      </xdr:nvSpPr>
      <xdr:spPr>
        <a:xfrm>
          <a:off x="7943850" y="1059872"/>
          <a:ext cx="1864303"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A7030B-01BE-40B8-9D5A-00FE528E5428}" type="TxLink">
            <a:rPr lang="en-US" sz="2000" b="1" i="0" u="none" strike="noStrike">
              <a:solidFill>
                <a:schemeClr val="bg1"/>
              </a:solidFill>
              <a:latin typeface="Aptos Narrow"/>
              <a:ea typeface="+mn-ea"/>
              <a:cs typeface="+mn-cs"/>
            </a:rPr>
            <a:pPr marL="0" indent="0" algn="ctr"/>
            <a:t>$509.2K</a:t>
          </a:fld>
          <a:endParaRPr lang="en-US" sz="2000" b="1" i="0" u="none" strike="noStrike">
            <a:solidFill>
              <a:schemeClr val="bg1"/>
            </a:solidFill>
            <a:latin typeface="Aptos Narrow"/>
            <a:ea typeface="+mn-ea"/>
            <a:cs typeface="+mn-cs"/>
          </a:endParaRPr>
        </a:p>
      </xdr:txBody>
    </xdr:sp>
    <xdr:clientData/>
  </xdr:twoCellAnchor>
  <xdr:twoCellAnchor>
    <xdr:from>
      <xdr:col>16</xdr:col>
      <xdr:colOff>128156</xdr:colOff>
      <xdr:row>3</xdr:row>
      <xdr:rowOff>130753</xdr:rowOff>
    </xdr:from>
    <xdr:to>
      <xdr:col>18</xdr:col>
      <xdr:colOff>172317</xdr:colOff>
      <xdr:row>5</xdr:row>
      <xdr:rowOff>122094</xdr:rowOff>
    </xdr:to>
    <xdr:sp macro="" textlink="">
      <xdr:nvSpPr>
        <xdr:cNvPr id="50" name="TextBox 49">
          <a:extLst>
            <a:ext uri="{FF2B5EF4-FFF2-40B4-BE49-F238E27FC236}">
              <a16:creationId xmlns:a16="http://schemas.microsoft.com/office/drawing/2014/main" id="{276AA91A-BC4B-93EA-CA8C-56838D127975}"/>
            </a:ext>
          </a:extLst>
        </xdr:cNvPr>
        <xdr:cNvSpPr txBox="1"/>
      </xdr:nvSpPr>
      <xdr:spPr>
        <a:xfrm>
          <a:off x="9815081" y="702253"/>
          <a:ext cx="2692111"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Employee</a:t>
          </a:r>
          <a:endParaRPr lang="en-US" sz="1800" b="1">
            <a:solidFill>
              <a:schemeClr val="bg1"/>
            </a:solidFill>
          </a:endParaRPr>
        </a:p>
      </xdr:txBody>
    </xdr:sp>
    <xdr:clientData/>
  </xdr:twoCellAnchor>
  <xdr:twoCellAnchor>
    <xdr:from>
      <xdr:col>16</xdr:col>
      <xdr:colOff>123825</xdr:colOff>
      <xdr:row>4</xdr:row>
      <xdr:rowOff>7358</xdr:rowOff>
    </xdr:from>
    <xdr:to>
      <xdr:col>18</xdr:col>
      <xdr:colOff>76200</xdr:colOff>
      <xdr:row>7</xdr:row>
      <xdr:rowOff>175778</xdr:rowOff>
    </xdr:to>
    <xdr:sp macro="" textlink="">
      <xdr:nvSpPr>
        <xdr:cNvPr id="59" name="Rectangle: Rounded Corners 58">
          <a:extLst>
            <a:ext uri="{FF2B5EF4-FFF2-40B4-BE49-F238E27FC236}">
              <a16:creationId xmlns:a16="http://schemas.microsoft.com/office/drawing/2014/main" id="{AC8612E1-19B7-F44C-1DCF-74F900718234}"/>
            </a:ext>
          </a:extLst>
        </xdr:cNvPr>
        <xdr:cNvSpPr/>
      </xdr:nvSpPr>
      <xdr:spPr>
        <a:xfrm rot="16200000">
          <a:off x="10740953" y="-160845"/>
          <a:ext cx="739920" cy="26003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99579</xdr:colOff>
      <xdr:row>5</xdr:row>
      <xdr:rowOff>35501</xdr:rowOff>
    </xdr:from>
    <xdr:to>
      <xdr:col>16</xdr:col>
      <xdr:colOff>610465</xdr:colOff>
      <xdr:row>7</xdr:row>
      <xdr:rowOff>165387</xdr:rowOff>
    </xdr:to>
    <xdr:pic>
      <xdr:nvPicPr>
        <xdr:cNvPr id="52" name="Graphic 51" descr="Female Profile with solid fill">
          <a:extLst>
            <a:ext uri="{FF2B5EF4-FFF2-40B4-BE49-F238E27FC236}">
              <a16:creationId xmlns:a16="http://schemas.microsoft.com/office/drawing/2014/main" id="{A44D3688-6050-7621-3C58-583C0C8BA2C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786504" y="988001"/>
          <a:ext cx="510886" cy="510886"/>
        </a:xfrm>
        <a:prstGeom prst="rect">
          <a:avLst/>
        </a:prstGeom>
      </xdr:spPr>
    </xdr:pic>
    <xdr:clientData/>
  </xdr:twoCellAnchor>
  <xdr:twoCellAnchor editAs="oneCell">
    <xdr:from>
      <xdr:col>16</xdr:col>
      <xdr:colOff>828874</xdr:colOff>
      <xdr:row>5</xdr:row>
      <xdr:rowOff>38100</xdr:rowOff>
    </xdr:from>
    <xdr:to>
      <xdr:col>17</xdr:col>
      <xdr:colOff>503094</xdr:colOff>
      <xdr:row>7</xdr:row>
      <xdr:rowOff>145272</xdr:rowOff>
    </xdr:to>
    <xdr:pic>
      <xdr:nvPicPr>
        <xdr:cNvPr id="54" name="Graphic 53" descr="Male profile with solid fill">
          <a:extLst>
            <a:ext uri="{FF2B5EF4-FFF2-40B4-BE49-F238E27FC236}">
              <a16:creationId xmlns:a16="http://schemas.microsoft.com/office/drawing/2014/main" id="{C37A608A-570C-77D0-F072-A516582813C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515799" y="990600"/>
          <a:ext cx="521945" cy="488172"/>
        </a:xfrm>
        <a:prstGeom prst="rect">
          <a:avLst/>
        </a:prstGeom>
      </xdr:spPr>
    </xdr:pic>
    <xdr:clientData/>
  </xdr:twoCellAnchor>
  <xdr:twoCellAnchor>
    <xdr:from>
      <xdr:col>15</xdr:col>
      <xdr:colOff>458065</xdr:colOff>
      <xdr:row>5</xdr:row>
      <xdr:rowOff>184435</xdr:rowOff>
    </xdr:from>
    <xdr:to>
      <xdr:col>17</xdr:col>
      <xdr:colOff>655493</xdr:colOff>
      <xdr:row>7</xdr:row>
      <xdr:rowOff>175776</xdr:rowOff>
    </xdr:to>
    <xdr:sp macro="" textlink="Pivot!Z5">
      <xdr:nvSpPr>
        <xdr:cNvPr id="60" name="TextBox 59">
          <a:extLst>
            <a:ext uri="{FF2B5EF4-FFF2-40B4-BE49-F238E27FC236}">
              <a16:creationId xmlns:a16="http://schemas.microsoft.com/office/drawing/2014/main" id="{AAEDEA2E-B2E3-90D0-99FC-B63232FE4B2E}"/>
            </a:ext>
          </a:extLst>
        </xdr:cNvPr>
        <xdr:cNvSpPr txBox="1"/>
      </xdr:nvSpPr>
      <xdr:spPr>
        <a:xfrm>
          <a:off x="9602065" y="1136935"/>
          <a:ext cx="1588078"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56E2E0-1E4E-472D-B337-C7A915521A10}" type="TxLink">
            <a:rPr lang="en-US" sz="1800" b="1" i="0" u="none" strike="noStrike">
              <a:solidFill>
                <a:schemeClr val="bg1"/>
              </a:solidFill>
              <a:latin typeface="Aptos Narrow"/>
              <a:ea typeface="+mn-ea"/>
              <a:cs typeface="+mn-cs"/>
            </a:rPr>
            <a:pPr marL="0" indent="0" algn="ctr"/>
            <a:t>14</a:t>
          </a:fld>
          <a:endParaRPr lang="en-US" sz="1800" b="1" i="0" u="none" strike="noStrike">
            <a:solidFill>
              <a:schemeClr val="bg1"/>
            </a:solidFill>
            <a:latin typeface="Aptos Narrow"/>
            <a:ea typeface="+mn-ea"/>
            <a:cs typeface="+mn-cs"/>
          </a:endParaRPr>
        </a:p>
      </xdr:txBody>
    </xdr:sp>
    <xdr:clientData/>
  </xdr:twoCellAnchor>
  <xdr:twoCellAnchor>
    <xdr:from>
      <xdr:col>17</xdr:col>
      <xdr:colOff>805296</xdr:colOff>
      <xdr:row>5</xdr:row>
      <xdr:rowOff>180107</xdr:rowOff>
    </xdr:from>
    <xdr:to>
      <xdr:col>18</xdr:col>
      <xdr:colOff>596612</xdr:colOff>
      <xdr:row>7</xdr:row>
      <xdr:rowOff>171448</xdr:rowOff>
    </xdr:to>
    <xdr:sp macro="" textlink="Pivot!Z3">
      <xdr:nvSpPr>
        <xdr:cNvPr id="61" name="TextBox 60">
          <a:extLst>
            <a:ext uri="{FF2B5EF4-FFF2-40B4-BE49-F238E27FC236}">
              <a16:creationId xmlns:a16="http://schemas.microsoft.com/office/drawing/2014/main" id="{CDD22833-73D1-B9B6-692B-66464BF7C422}"/>
            </a:ext>
          </a:extLst>
        </xdr:cNvPr>
        <xdr:cNvSpPr txBox="1"/>
      </xdr:nvSpPr>
      <xdr:spPr>
        <a:xfrm>
          <a:off x="11339946" y="1132607"/>
          <a:ext cx="1591541"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7DA56D-1C9A-4C82-B8C6-E74032BAD3BF}" type="TxLink">
            <a:rPr lang="en-US" sz="2400" b="1" i="0" u="none" strike="noStrike">
              <a:solidFill>
                <a:schemeClr val="bg1"/>
              </a:solidFill>
              <a:latin typeface="Aptos Narrow"/>
              <a:ea typeface="+mn-ea"/>
              <a:cs typeface="+mn-cs"/>
            </a:rPr>
            <a:pPr marL="0" indent="0" algn="ctr"/>
            <a:t>20</a:t>
          </a:fld>
          <a:endParaRPr lang="en-US" sz="4800" b="1" i="0" u="none" strike="noStrike">
            <a:solidFill>
              <a:schemeClr val="bg1"/>
            </a:solidFill>
            <a:latin typeface="Aptos Narrow"/>
            <a:ea typeface="+mn-ea"/>
            <a:cs typeface="+mn-cs"/>
          </a:endParaRPr>
        </a:p>
      </xdr:txBody>
    </xdr:sp>
    <xdr:clientData/>
  </xdr:twoCellAnchor>
  <xdr:twoCellAnchor>
    <xdr:from>
      <xdr:col>16</xdr:col>
      <xdr:colOff>28575</xdr:colOff>
      <xdr:row>3</xdr:row>
      <xdr:rowOff>129888</xdr:rowOff>
    </xdr:from>
    <xdr:to>
      <xdr:col>17</xdr:col>
      <xdr:colOff>770660</xdr:colOff>
      <xdr:row>5</xdr:row>
      <xdr:rowOff>121229</xdr:rowOff>
    </xdr:to>
    <xdr:sp macro="" textlink="">
      <xdr:nvSpPr>
        <xdr:cNvPr id="62" name="TextBox 61">
          <a:extLst>
            <a:ext uri="{FF2B5EF4-FFF2-40B4-BE49-F238E27FC236}">
              <a16:creationId xmlns:a16="http://schemas.microsoft.com/office/drawing/2014/main" id="{9A9781CD-15CC-26B8-42AF-C17FD19A900F}"/>
            </a:ext>
          </a:extLst>
        </xdr:cNvPr>
        <xdr:cNvSpPr txBox="1"/>
      </xdr:nvSpPr>
      <xdr:spPr>
        <a:xfrm>
          <a:off x="9715500" y="701388"/>
          <a:ext cx="1589810"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Diversity</a:t>
          </a:r>
        </a:p>
        <a:p>
          <a:pPr algn="ctr"/>
          <a:endParaRPr lang="en-US" sz="1800" b="1">
            <a:solidFill>
              <a:schemeClr val="bg1"/>
            </a:solidFill>
          </a:endParaRPr>
        </a:p>
      </xdr:txBody>
    </xdr:sp>
    <xdr:clientData/>
  </xdr:twoCellAnchor>
  <xdr:twoCellAnchor>
    <xdr:from>
      <xdr:col>2</xdr:col>
      <xdr:colOff>571501</xdr:colOff>
      <xdr:row>0</xdr:row>
      <xdr:rowOff>34636</xdr:rowOff>
    </xdr:from>
    <xdr:to>
      <xdr:col>15</xdr:col>
      <xdr:colOff>152400</xdr:colOff>
      <xdr:row>3</xdr:row>
      <xdr:rowOff>121228</xdr:rowOff>
    </xdr:to>
    <xdr:sp macro="" textlink="">
      <xdr:nvSpPr>
        <xdr:cNvPr id="63" name="TextBox 62">
          <a:extLst>
            <a:ext uri="{FF2B5EF4-FFF2-40B4-BE49-F238E27FC236}">
              <a16:creationId xmlns:a16="http://schemas.microsoft.com/office/drawing/2014/main" id="{0E67DCE9-E643-26C5-6D4D-9186D0F4D5E8}"/>
            </a:ext>
          </a:extLst>
        </xdr:cNvPr>
        <xdr:cNvSpPr txBox="1"/>
      </xdr:nvSpPr>
      <xdr:spPr>
        <a:xfrm>
          <a:off x="1790701" y="34636"/>
          <a:ext cx="7505699" cy="658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a:solidFill>
                <a:schemeClr val="bg1"/>
              </a:solidFill>
            </a:rPr>
            <a:t>Sales</a:t>
          </a:r>
          <a:r>
            <a:rPr lang="en-US" sz="4000" baseline="0">
              <a:solidFill>
                <a:schemeClr val="bg1"/>
              </a:solidFill>
            </a:rPr>
            <a:t> Agent Performance Dashboard</a:t>
          </a:r>
          <a:endParaRPr lang="en-US" sz="4000">
            <a:solidFill>
              <a:schemeClr val="bg1"/>
            </a:solidFill>
          </a:endParaRPr>
        </a:p>
      </xdr:txBody>
    </xdr:sp>
    <xdr:clientData/>
  </xdr:twoCellAnchor>
  <xdr:twoCellAnchor editAs="oneCell">
    <xdr:from>
      <xdr:col>1</xdr:col>
      <xdr:colOff>554182</xdr:colOff>
      <xdr:row>0</xdr:row>
      <xdr:rowOff>0</xdr:rowOff>
    </xdr:from>
    <xdr:to>
      <xdr:col>3</xdr:col>
      <xdr:colOff>60613</xdr:colOff>
      <xdr:row>3</xdr:row>
      <xdr:rowOff>147204</xdr:rowOff>
    </xdr:to>
    <xdr:pic>
      <xdr:nvPicPr>
        <xdr:cNvPr id="17" name="Graphic 16" descr="Employee badge with solid fill">
          <a:extLst>
            <a:ext uri="{FF2B5EF4-FFF2-40B4-BE49-F238E27FC236}">
              <a16:creationId xmlns:a16="http://schemas.microsoft.com/office/drawing/2014/main" id="{604A889D-6F10-5928-2485-D6315437A96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60318" y="0"/>
          <a:ext cx="718704" cy="718704"/>
        </a:xfrm>
        <a:prstGeom prst="rect">
          <a:avLst/>
        </a:prstGeom>
      </xdr:spPr>
    </xdr:pic>
    <xdr:clientData/>
  </xdr:twoCellAnchor>
  <xdr:twoCellAnchor editAs="oneCell">
    <xdr:from>
      <xdr:col>15</xdr:col>
      <xdr:colOff>417369</xdr:colOff>
      <xdr:row>0</xdr:row>
      <xdr:rowOff>36369</xdr:rowOff>
    </xdr:from>
    <xdr:to>
      <xdr:col>18</xdr:col>
      <xdr:colOff>47625</xdr:colOff>
      <xdr:row>3</xdr:row>
      <xdr:rowOff>131618</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5E17056F-A794-4A90-9971-D355FA8F816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61369" y="36369"/>
              <a:ext cx="2821131"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676275</xdr:colOff>
      <xdr:row>3</xdr:row>
      <xdr:rowOff>154431</xdr:rowOff>
    </xdr:from>
    <xdr:to>
      <xdr:col>17</xdr:col>
      <xdr:colOff>1457325</xdr:colOff>
      <xdr:row>7</xdr:row>
      <xdr:rowOff>211893</xdr:rowOff>
    </xdr:to>
    <xdr:pic>
      <xdr:nvPicPr>
        <xdr:cNvPr id="19" name="Graphic 18" descr="User with solid fill">
          <a:extLst>
            <a:ext uri="{FF2B5EF4-FFF2-40B4-BE49-F238E27FC236}">
              <a16:creationId xmlns:a16="http://schemas.microsoft.com/office/drawing/2014/main" id="{6D7EDBAB-608C-35B0-DF2A-601EF1284C6D}"/>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210925" y="725931"/>
          <a:ext cx="781050" cy="819462"/>
        </a:xfrm>
        <a:prstGeom prst="rect">
          <a:avLst/>
        </a:prstGeom>
      </xdr:spPr>
    </xdr:pic>
    <xdr:clientData/>
  </xdr:twoCellAnchor>
  <xdr:twoCellAnchor>
    <xdr:from>
      <xdr:col>15</xdr:col>
      <xdr:colOff>429490</xdr:colOff>
      <xdr:row>3</xdr:row>
      <xdr:rowOff>79660</xdr:rowOff>
    </xdr:from>
    <xdr:to>
      <xdr:col>17</xdr:col>
      <xdr:colOff>626918</xdr:colOff>
      <xdr:row>5</xdr:row>
      <xdr:rowOff>71001</xdr:rowOff>
    </xdr:to>
    <xdr:sp macro="" textlink="Pivot!Z6">
      <xdr:nvSpPr>
        <xdr:cNvPr id="20" name="TextBox 19">
          <a:extLst>
            <a:ext uri="{FF2B5EF4-FFF2-40B4-BE49-F238E27FC236}">
              <a16:creationId xmlns:a16="http://schemas.microsoft.com/office/drawing/2014/main" id="{D37DBBBE-0032-3E59-7DF3-C06D92F18DC0}"/>
            </a:ext>
          </a:extLst>
        </xdr:cNvPr>
        <xdr:cNvSpPr txBox="1"/>
      </xdr:nvSpPr>
      <xdr:spPr>
        <a:xfrm>
          <a:off x="9573490" y="651160"/>
          <a:ext cx="1588078"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D567F1-E63B-42F0-B8B7-773CA594A577}" type="TxLink">
            <a:rPr lang="en-US" sz="1100" b="0" i="0" u="none" strike="noStrike">
              <a:solidFill>
                <a:srgbClr val="000000"/>
              </a:solidFill>
              <a:latin typeface="Aptos Narrow"/>
              <a:ea typeface="+mn-ea"/>
              <a:cs typeface="+mn-cs"/>
            </a:rPr>
            <a:pPr marL="0" indent="0" algn="ctr"/>
            <a:t> </a:t>
          </a:fld>
          <a:endParaRPr lang="en-US" sz="2400" b="1" i="0" u="none" strike="noStrike">
            <a:solidFill>
              <a:schemeClr val="bg1"/>
            </a:solidFill>
            <a:latin typeface="Aptos Narrow"/>
            <a:ea typeface="+mn-ea"/>
            <a:cs typeface="+mn-cs"/>
          </a:endParaRPr>
        </a:p>
      </xdr:txBody>
    </xdr:sp>
    <xdr:clientData/>
  </xdr:twoCellAnchor>
  <xdr:twoCellAnchor>
    <xdr:from>
      <xdr:col>16</xdr:col>
      <xdr:colOff>610465</xdr:colOff>
      <xdr:row>5</xdr:row>
      <xdr:rowOff>174910</xdr:rowOff>
    </xdr:from>
    <xdr:to>
      <xdr:col>17</xdr:col>
      <xdr:colOff>1350818</xdr:colOff>
      <xdr:row>7</xdr:row>
      <xdr:rowOff>166251</xdr:rowOff>
    </xdr:to>
    <xdr:sp macro="" textlink="Pivot!Z4">
      <xdr:nvSpPr>
        <xdr:cNvPr id="25" name="TextBox 24">
          <a:extLst>
            <a:ext uri="{FF2B5EF4-FFF2-40B4-BE49-F238E27FC236}">
              <a16:creationId xmlns:a16="http://schemas.microsoft.com/office/drawing/2014/main" id="{531F7947-FCDF-F725-7683-58DEF46E6588}"/>
            </a:ext>
          </a:extLst>
        </xdr:cNvPr>
        <xdr:cNvSpPr txBox="1"/>
      </xdr:nvSpPr>
      <xdr:spPr>
        <a:xfrm>
          <a:off x="10297390" y="1127410"/>
          <a:ext cx="1588078" cy="372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C1354-AE53-4E3B-AA37-FFFA7CF15C3E}" type="TxLink">
            <a:rPr lang="en-US" sz="1800" b="1" i="0" u="none" strike="noStrike">
              <a:solidFill>
                <a:schemeClr val="bg1"/>
              </a:solidFill>
              <a:latin typeface="Aptos Narrow"/>
              <a:ea typeface="+mn-ea"/>
              <a:cs typeface="+mn-cs"/>
            </a:rPr>
            <a:pPr marL="0" indent="0" algn="ctr"/>
            <a:t>6</a:t>
          </a:fld>
          <a:endParaRPr lang="en-US" sz="1800" b="1" i="0" u="none" strike="noStrike">
            <a:solidFill>
              <a:schemeClr val="bg1"/>
            </a:solidFill>
            <a:latin typeface="Aptos Narrow"/>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80.769060416664" createdVersion="8" refreshedVersion="8" minRefreshableVersion="3" recordCount="240" xr:uid="{9F4B771D-9FF6-4E6F-8E02-69FBE378246D}">
  <cacheSource type="worksheet">
    <worksheetSource name="SalesData"/>
  </cacheSource>
  <cacheFields count="11">
    <cacheField name="Name" numFmtId="0">
      <sharedItems count="20">
        <s v="Evan"/>
        <s v="Alice"/>
        <s v="Diana"/>
        <s v="Jake"/>
        <s v="Liam"/>
        <s v="Bob"/>
        <s v="Rick"/>
        <s v="Molly"/>
        <s v="Chris"/>
        <s v="Paul"/>
        <s v="Ian"/>
        <s v="Alex"/>
        <s v="Karol"/>
        <s v="Will"/>
        <s v="Vicky"/>
        <s v="Grace"/>
        <s v="Josh"/>
        <s v="Craig"/>
        <s v="David"/>
        <s v="Mimi"/>
      </sharedItems>
    </cacheField>
    <cacheField name="Date" numFmtId="14">
      <sharedItems containsSemiMixedTypes="0" containsNonDate="0" containsDate="1" containsString="0" minDate="2024-01-01T00:00:00" maxDate="2024-12-02T00:00:00"/>
    </cacheField>
    <cacheField name="Year" numFmtId="0">
      <sharedItems containsSemiMixedTypes="0" containsString="0" containsNumber="1" containsInteger="1" minValue="2024" maxValue="2024" count="1">
        <n v="2024"/>
      </sharedItems>
    </cacheField>
    <cacheField name="Month" numFmtId="0">
      <sharedItems count="12">
        <s v="Jan"/>
        <s v="Feb"/>
        <s v="Mar"/>
        <s v="Apr"/>
        <s v="May"/>
        <s v="Jun"/>
        <s v="Jul"/>
        <s v="Aug"/>
        <s v="Sep"/>
        <s v="Oct"/>
        <s v="Nov"/>
        <s v="Dec"/>
      </sharedItems>
    </cacheField>
    <cacheField name="Total Calls" numFmtId="0">
      <sharedItems containsSemiMixedTypes="0" containsString="0" containsNumber="1" containsInteger="1" minValue="17"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2">
      <sharedItems containsSemiMixedTypes="0" containsString="0" containsNumber="1" minValue="0" maxValue="1"/>
    </cacheField>
    <cacheField name="Deal Value ($)" numFmtId="2">
      <sharedItems containsSemiMixedTypes="0" containsString="0" containsNumber="1" minValue="221.94" maxValue="4592.09"/>
    </cacheField>
    <cacheField name="Call Drop Rate (%)" numFmtId="164">
      <sharedItems containsSemiMixedTypes="0" containsString="0" containsNumber="1" minValue="6.403416741862511E-5" maxValue="0.99907210466752039"/>
    </cacheField>
  </cacheFields>
  <extLst>
    <ext xmlns:x14="http://schemas.microsoft.com/office/spreadsheetml/2009/9/main" uri="{725AE2AE-9491-48be-B2B4-4EB974FC3084}">
      <x14:pivotCacheDefinition pivotCacheId="552358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d v="2024-01-01T00:00:00"/>
    <x v="0"/>
    <x v="0"/>
    <n v="74"/>
    <n v="12"/>
    <n v="330.42"/>
    <n v="7"/>
    <n v="0.58333333333333337"/>
    <n v="4276.3100000000004"/>
    <n v="0.29250498154049176"/>
  </r>
  <r>
    <x v="1"/>
    <d v="2024-01-01T00:00:00"/>
    <x v="0"/>
    <x v="0"/>
    <n v="78"/>
    <n v="12"/>
    <n v="377.5"/>
    <n v="4"/>
    <n v="0.33333333333333331"/>
    <n v="3880.98"/>
    <n v="6.4277116379917842E-2"/>
  </r>
  <r>
    <x v="2"/>
    <d v="2024-01-01T00:00:00"/>
    <x v="0"/>
    <x v="0"/>
    <n v="47"/>
    <n v="14"/>
    <n v="418.92"/>
    <n v="2"/>
    <n v="0.14285714285714285"/>
    <n v="3716"/>
    <n v="0.62530363063099814"/>
  </r>
  <r>
    <x v="3"/>
    <d v="2024-01-01T00:00:00"/>
    <x v="0"/>
    <x v="0"/>
    <n v="24"/>
    <n v="6"/>
    <n v="76.930000000000007"/>
    <n v="4"/>
    <n v="0.66666666666666663"/>
    <n v="1552.35"/>
    <n v="0.64609294268539663"/>
  </r>
  <r>
    <x v="4"/>
    <d v="2024-01-01T00:00:00"/>
    <x v="0"/>
    <x v="0"/>
    <n v="81"/>
    <n v="16"/>
    <n v="516.23"/>
    <n v="5"/>
    <n v="0.3125"/>
    <n v="1030.68"/>
    <n v="0.74740555908513828"/>
  </r>
  <r>
    <x v="5"/>
    <d v="2024-01-01T00:00:00"/>
    <x v="0"/>
    <x v="0"/>
    <n v="59"/>
    <n v="5"/>
    <n v="520.05999999999995"/>
    <n v="3"/>
    <n v="0.6"/>
    <n v="3546.72"/>
    <n v="0.51462662341031806"/>
  </r>
  <r>
    <x v="6"/>
    <d v="2024-01-01T00:00:00"/>
    <x v="0"/>
    <x v="0"/>
    <n v="68"/>
    <n v="19"/>
    <n v="290.39"/>
    <n v="3"/>
    <n v="0.15789473684210525"/>
    <n v="2472.2399999999998"/>
    <n v="0.53144767802810555"/>
  </r>
  <r>
    <x v="7"/>
    <d v="2024-01-01T00:00:00"/>
    <x v="0"/>
    <x v="0"/>
    <n v="34"/>
    <n v="21"/>
    <n v="362.62"/>
    <n v="9"/>
    <n v="0.42857142857142855"/>
    <n v="1140.08"/>
    <n v="0.35853689652345111"/>
  </r>
  <r>
    <x v="8"/>
    <d v="2024-01-01T00:00:00"/>
    <x v="0"/>
    <x v="0"/>
    <n v="59"/>
    <n v="13"/>
    <n v="307.49"/>
    <n v="10"/>
    <n v="0.76923076923076927"/>
    <n v="979.09"/>
    <n v="0.74377727629789769"/>
  </r>
  <r>
    <x v="9"/>
    <d v="2024-01-01T00:00:00"/>
    <x v="0"/>
    <x v="0"/>
    <n v="67"/>
    <n v="17"/>
    <n v="552.54999999999995"/>
    <n v="2"/>
    <n v="0.11764705882352941"/>
    <n v="330.12"/>
    <n v="6.77604610401501E-2"/>
  </r>
  <r>
    <x v="10"/>
    <d v="2024-01-01T00:00:00"/>
    <x v="0"/>
    <x v="0"/>
    <n v="36"/>
    <n v="9"/>
    <n v="216.03"/>
    <n v="2"/>
    <n v="0.22222222222222221"/>
    <n v="4072.07"/>
    <n v="0.80831742473491663"/>
  </r>
  <r>
    <x v="11"/>
    <d v="2024-01-01T00:00:00"/>
    <x v="0"/>
    <x v="0"/>
    <n v="82"/>
    <n v="4"/>
    <n v="180.06"/>
    <n v="4"/>
    <n v="1"/>
    <n v="1207.17"/>
    <n v="0.84823122990677169"/>
  </r>
  <r>
    <x v="12"/>
    <d v="2024-01-01T00:00:00"/>
    <x v="0"/>
    <x v="0"/>
    <n v="81"/>
    <n v="7"/>
    <n v="82.43"/>
    <n v="7"/>
    <n v="1"/>
    <n v="3463.96"/>
    <n v="0.27974233861175424"/>
  </r>
  <r>
    <x v="13"/>
    <d v="2024-01-01T00:00:00"/>
    <x v="0"/>
    <x v="0"/>
    <n v="92"/>
    <n v="20"/>
    <n v="161.41999999999999"/>
    <n v="4"/>
    <n v="0.2"/>
    <n v="425.41"/>
    <n v="0.40078126640185485"/>
  </r>
  <r>
    <x v="14"/>
    <d v="2024-01-01T00:00:00"/>
    <x v="0"/>
    <x v="0"/>
    <n v="73"/>
    <n v="12"/>
    <n v="507.45"/>
    <n v="0"/>
    <n v="0"/>
    <n v="1123.8399999999999"/>
    <n v="0.43081887907527339"/>
  </r>
  <r>
    <x v="15"/>
    <d v="2024-01-01T00:00:00"/>
    <x v="0"/>
    <x v="0"/>
    <n v="25"/>
    <n v="14"/>
    <n v="279.95"/>
    <n v="2"/>
    <n v="0.14285714285714285"/>
    <n v="1432.23"/>
    <n v="0.56382343536496682"/>
  </r>
  <r>
    <x v="16"/>
    <d v="2024-01-01T00:00:00"/>
    <x v="0"/>
    <x v="0"/>
    <n v="63"/>
    <n v="8"/>
    <n v="170.49"/>
    <n v="7"/>
    <n v="0.875"/>
    <n v="526.12"/>
    <n v="0.22587267789073762"/>
  </r>
  <r>
    <x v="17"/>
    <d v="2024-01-01T00:00:00"/>
    <x v="0"/>
    <x v="0"/>
    <n v="92"/>
    <n v="13"/>
    <n v="422.39"/>
    <n v="1"/>
    <n v="7.6923076923076927E-2"/>
    <n v="2695.84"/>
    <n v="0.74643149882196569"/>
  </r>
  <r>
    <x v="18"/>
    <d v="2024-01-01T00:00:00"/>
    <x v="0"/>
    <x v="0"/>
    <n v="38"/>
    <n v="10"/>
    <n v="514.25"/>
    <n v="4"/>
    <n v="0.4"/>
    <n v="243.62"/>
    <n v="0.76295438620052014"/>
  </r>
  <r>
    <x v="19"/>
    <d v="2024-01-01T00:00:00"/>
    <x v="0"/>
    <x v="0"/>
    <n v="43"/>
    <n v="15"/>
    <n v="363.48"/>
    <n v="7"/>
    <n v="0.46666666666666667"/>
    <n v="3843.52"/>
    <n v="0.332169609928884"/>
  </r>
  <r>
    <x v="0"/>
    <d v="2024-02-01T00:00:00"/>
    <x v="0"/>
    <x v="1"/>
    <n v="62"/>
    <n v="15"/>
    <n v="361.38"/>
    <n v="6"/>
    <n v="0.4"/>
    <n v="4195.1400000000003"/>
    <n v="0.99407056594765741"/>
  </r>
  <r>
    <x v="1"/>
    <d v="2024-02-01T00:00:00"/>
    <x v="0"/>
    <x v="1"/>
    <n v="81"/>
    <n v="14"/>
    <n v="362.96"/>
    <n v="5"/>
    <n v="0.35714285714285715"/>
    <n v="3620.19"/>
    <n v="0.41391659101421729"/>
  </r>
  <r>
    <x v="2"/>
    <d v="2024-02-01T00:00:00"/>
    <x v="0"/>
    <x v="1"/>
    <n v="52"/>
    <n v="14"/>
    <n v="382.59"/>
    <n v="3"/>
    <n v="0.21428571428571427"/>
    <n v="3394.39"/>
    <n v="0.66095528069524023"/>
  </r>
  <r>
    <x v="3"/>
    <d v="2024-02-01T00:00:00"/>
    <x v="0"/>
    <x v="1"/>
    <n v="22"/>
    <n v="7"/>
    <n v="79.459999999999994"/>
    <n v="3"/>
    <n v="0.42857142857142855"/>
    <n v="1638.74"/>
    <n v="0.78374121533652186"/>
  </r>
  <r>
    <x v="4"/>
    <d v="2024-02-01T00:00:00"/>
    <x v="0"/>
    <x v="1"/>
    <n v="93"/>
    <n v="11"/>
    <n v="446.3"/>
    <n v="5"/>
    <n v="0.45454545454545453"/>
    <n v="1057.1400000000001"/>
    <n v="0.78942484627941989"/>
  </r>
  <r>
    <x v="5"/>
    <d v="2024-02-01T00:00:00"/>
    <x v="0"/>
    <x v="1"/>
    <n v="65"/>
    <n v="7"/>
    <n v="461.67"/>
    <n v="2"/>
    <n v="0.2857142857142857"/>
    <n v="3486.23"/>
    <n v="0.31218551897920055"/>
  </r>
  <r>
    <x v="6"/>
    <d v="2024-02-01T00:00:00"/>
    <x v="0"/>
    <x v="1"/>
    <n v="90"/>
    <n v="20"/>
    <n v="328.63"/>
    <n v="3"/>
    <n v="0.15"/>
    <n v="2662.44"/>
    <n v="0.87726929111172314"/>
  </r>
  <r>
    <x v="7"/>
    <d v="2024-02-01T00:00:00"/>
    <x v="0"/>
    <x v="1"/>
    <n v="37"/>
    <n v="17"/>
    <n v="378.61"/>
    <n v="10"/>
    <n v="0.58823529411764708"/>
    <n v="1295.07"/>
    <n v="0.72921351278694924"/>
  </r>
  <r>
    <x v="8"/>
    <d v="2024-02-01T00:00:00"/>
    <x v="0"/>
    <x v="1"/>
    <n v="68"/>
    <n v="16"/>
    <n v="299.58999999999997"/>
    <n v="9"/>
    <n v="0.5625"/>
    <n v="979.47"/>
    <n v="0.2227964157727782"/>
  </r>
  <r>
    <x v="9"/>
    <d v="2024-02-01T00:00:00"/>
    <x v="0"/>
    <x v="1"/>
    <n v="68"/>
    <n v="21"/>
    <n v="553.08000000000004"/>
    <n v="3"/>
    <n v="0.14285714285714285"/>
    <n v="360.7"/>
    <n v="8.5943005370985093E-2"/>
  </r>
  <r>
    <x v="10"/>
    <d v="2024-02-01T00:00:00"/>
    <x v="0"/>
    <x v="1"/>
    <n v="30"/>
    <n v="8"/>
    <n v="223.22"/>
    <n v="2"/>
    <n v="0.25"/>
    <n v="3595.12"/>
    <n v="4.7029101731369316E-2"/>
  </r>
  <r>
    <x v="11"/>
    <d v="2024-02-01T00:00:00"/>
    <x v="0"/>
    <x v="1"/>
    <n v="92"/>
    <n v="6"/>
    <n v="180.46"/>
    <n v="5"/>
    <n v="0.83333333333333337"/>
    <n v="1173.27"/>
    <n v="0.67690445284086531"/>
  </r>
  <r>
    <x v="12"/>
    <d v="2024-02-01T00:00:00"/>
    <x v="0"/>
    <x v="1"/>
    <n v="92"/>
    <n v="7"/>
    <n v="80.12"/>
    <n v="6"/>
    <n v="0.8571428571428571"/>
    <n v="3794.02"/>
    <n v="0.7229564097314668"/>
  </r>
  <r>
    <x v="13"/>
    <d v="2024-02-01T00:00:00"/>
    <x v="0"/>
    <x v="1"/>
    <n v="83"/>
    <n v="20"/>
    <n v="193.39"/>
    <n v="5"/>
    <n v="0.25"/>
    <n v="402.53"/>
    <n v="0.506336516146214"/>
  </r>
  <r>
    <x v="14"/>
    <d v="2024-02-01T00:00:00"/>
    <x v="0"/>
    <x v="1"/>
    <n v="57"/>
    <n v="11"/>
    <n v="454.77"/>
    <n v="1"/>
    <n v="9.0909090909090912E-2"/>
    <n v="1152.4100000000001"/>
    <n v="0.13054850997627987"/>
  </r>
  <r>
    <x v="15"/>
    <d v="2024-02-01T00:00:00"/>
    <x v="0"/>
    <x v="1"/>
    <n v="22"/>
    <n v="17"/>
    <n v="291.97000000000003"/>
    <n v="1"/>
    <n v="5.8823529411764705E-2"/>
    <n v="1703.6"/>
    <n v="0.22849227211275758"/>
  </r>
  <r>
    <x v="16"/>
    <d v="2024-02-01T00:00:00"/>
    <x v="0"/>
    <x v="1"/>
    <n v="68"/>
    <n v="7"/>
    <n v="171.76"/>
    <n v="7"/>
    <n v="1"/>
    <n v="548.36"/>
    <n v="0.98866156547325734"/>
  </r>
  <r>
    <x v="17"/>
    <d v="2024-02-01T00:00:00"/>
    <x v="0"/>
    <x v="1"/>
    <n v="83"/>
    <n v="16"/>
    <n v="382.21"/>
    <n v="1"/>
    <n v="6.25E-2"/>
    <n v="3017.43"/>
    <n v="0.26923064185214862"/>
  </r>
  <r>
    <x v="18"/>
    <d v="2024-02-01T00:00:00"/>
    <x v="0"/>
    <x v="1"/>
    <n v="31"/>
    <n v="11"/>
    <n v="562.73"/>
    <n v="4"/>
    <n v="0.36363636363636365"/>
    <n v="221.94"/>
    <n v="0.33374481055326399"/>
  </r>
  <r>
    <x v="19"/>
    <d v="2024-02-01T00:00:00"/>
    <x v="0"/>
    <x v="1"/>
    <n v="34"/>
    <n v="17"/>
    <n v="380.37"/>
    <n v="7"/>
    <n v="0.41176470588235292"/>
    <n v="4183.2700000000004"/>
    <n v="0.39091217069507511"/>
  </r>
  <r>
    <x v="0"/>
    <d v="2024-03-01T00:00:00"/>
    <x v="0"/>
    <x v="2"/>
    <n v="55"/>
    <n v="17"/>
    <n v="315.62"/>
    <n v="5"/>
    <n v="0.29411764705882354"/>
    <n v="3890.73"/>
    <n v="0.82879865849495837"/>
  </r>
  <r>
    <x v="1"/>
    <d v="2024-03-01T00:00:00"/>
    <x v="0"/>
    <x v="2"/>
    <n v="91"/>
    <n v="10"/>
    <n v="361.58"/>
    <n v="4"/>
    <n v="0.4"/>
    <n v="3674.37"/>
    <n v="0.99907210466752039"/>
  </r>
  <r>
    <x v="2"/>
    <d v="2024-03-01T00:00:00"/>
    <x v="0"/>
    <x v="2"/>
    <n v="59"/>
    <n v="13"/>
    <n v="402.9"/>
    <n v="2"/>
    <n v="0.15384615384615385"/>
    <n v="3357.27"/>
    <n v="0.39761640589497804"/>
  </r>
  <r>
    <x v="3"/>
    <d v="2024-03-01T00:00:00"/>
    <x v="0"/>
    <x v="2"/>
    <n v="19"/>
    <n v="6"/>
    <n v="82.65"/>
    <n v="3"/>
    <n v="0.5"/>
    <n v="1469.62"/>
    <n v="0.91735843381571236"/>
  </r>
  <r>
    <x v="4"/>
    <d v="2024-03-01T00:00:00"/>
    <x v="0"/>
    <x v="2"/>
    <n v="77"/>
    <n v="14"/>
    <n v="494.43"/>
    <n v="4"/>
    <n v="0.2857142857142857"/>
    <n v="963.35"/>
    <n v="0.84544679781774368"/>
  </r>
  <r>
    <x v="5"/>
    <d v="2024-03-01T00:00:00"/>
    <x v="0"/>
    <x v="2"/>
    <n v="50"/>
    <n v="8"/>
    <n v="512.92999999999995"/>
    <n v="3"/>
    <n v="0.375"/>
    <n v="3725.66"/>
    <n v="0.27420842556022185"/>
  </r>
  <r>
    <x v="6"/>
    <d v="2024-03-01T00:00:00"/>
    <x v="0"/>
    <x v="2"/>
    <n v="88"/>
    <n v="18"/>
    <n v="291.04000000000002"/>
    <n v="2"/>
    <n v="0.1111111111111111"/>
    <n v="2619.84"/>
    <n v="0.78101685527032316"/>
  </r>
  <r>
    <x v="7"/>
    <d v="2024-03-01T00:00:00"/>
    <x v="0"/>
    <x v="2"/>
    <n v="33"/>
    <n v="18"/>
    <n v="348.57"/>
    <n v="8"/>
    <n v="0.44444444444444442"/>
    <n v="1169.6400000000001"/>
    <n v="0.44860173285980842"/>
  </r>
  <r>
    <x v="8"/>
    <d v="2024-03-01T00:00:00"/>
    <x v="0"/>
    <x v="2"/>
    <n v="54"/>
    <n v="15"/>
    <n v="321.99"/>
    <n v="8"/>
    <n v="0.53333333333333333"/>
    <n v="1080.0899999999999"/>
    <n v="0.22952877494243296"/>
  </r>
  <r>
    <x v="9"/>
    <d v="2024-03-01T00:00:00"/>
    <x v="0"/>
    <x v="2"/>
    <n v="68"/>
    <n v="19"/>
    <n v="623.25"/>
    <n v="3"/>
    <n v="0.15789473684210525"/>
    <n v="355.96"/>
    <n v="8.3299451419523773E-2"/>
  </r>
  <r>
    <x v="10"/>
    <d v="2024-03-01T00:00:00"/>
    <x v="0"/>
    <x v="2"/>
    <n v="31"/>
    <n v="9"/>
    <n v="209.18"/>
    <n v="2"/>
    <n v="0.22222222222222221"/>
    <n v="4153.3100000000004"/>
    <n v="0.85704958559719657"/>
  </r>
  <r>
    <x v="11"/>
    <d v="2024-03-01T00:00:00"/>
    <x v="0"/>
    <x v="2"/>
    <n v="83"/>
    <n v="5"/>
    <n v="170.12"/>
    <n v="3"/>
    <n v="0.6"/>
    <n v="1171.95"/>
    <n v="0.38836743984732092"/>
  </r>
  <r>
    <x v="12"/>
    <d v="2024-03-01T00:00:00"/>
    <x v="0"/>
    <x v="2"/>
    <n v="74"/>
    <n v="7"/>
    <n v="87.89"/>
    <n v="7"/>
    <n v="1"/>
    <n v="3848.14"/>
    <n v="0.11533209784366893"/>
  </r>
  <r>
    <x v="13"/>
    <d v="2024-03-01T00:00:00"/>
    <x v="0"/>
    <x v="2"/>
    <n v="84"/>
    <n v="15"/>
    <n v="163.21"/>
    <n v="5"/>
    <n v="0.33333333333333331"/>
    <n v="411.36"/>
    <n v="0.82102551235966648"/>
  </r>
  <r>
    <x v="14"/>
    <d v="2024-03-01T00:00:00"/>
    <x v="0"/>
    <x v="2"/>
    <n v="64"/>
    <n v="13"/>
    <n v="496.4"/>
    <n v="0"/>
    <n v="0"/>
    <n v="1306.3800000000001"/>
    <n v="0.58127303699331401"/>
  </r>
  <r>
    <x v="15"/>
    <d v="2024-03-01T00:00:00"/>
    <x v="0"/>
    <x v="2"/>
    <n v="21"/>
    <n v="13"/>
    <n v="315.41000000000003"/>
    <n v="1"/>
    <n v="7.6923076923076927E-2"/>
    <n v="1692.59"/>
    <n v="0.37312688877033107"/>
  </r>
  <r>
    <x v="16"/>
    <d v="2024-03-01T00:00:00"/>
    <x v="0"/>
    <x v="2"/>
    <n v="62"/>
    <n v="8"/>
    <n v="198.84"/>
    <n v="8"/>
    <n v="1"/>
    <n v="534.58000000000004"/>
    <n v="0.1626367056582062"/>
  </r>
  <r>
    <x v="17"/>
    <d v="2024-03-01T00:00:00"/>
    <x v="0"/>
    <x v="2"/>
    <n v="108"/>
    <n v="14"/>
    <n v="416.78"/>
    <n v="1"/>
    <n v="7.1428571428571425E-2"/>
    <n v="2989.69"/>
    <n v="0.88638942792511211"/>
  </r>
  <r>
    <x v="18"/>
    <d v="2024-03-01T00:00:00"/>
    <x v="0"/>
    <x v="2"/>
    <n v="28"/>
    <n v="12"/>
    <n v="533.85"/>
    <n v="5"/>
    <n v="0.41666666666666669"/>
    <n v="224.87"/>
    <n v="0.22975041700274268"/>
  </r>
  <r>
    <x v="19"/>
    <d v="2024-03-01T00:00:00"/>
    <x v="0"/>
    <x v="2"/>
    <n v="39"/>
    <n v="16"/>
    <n v="312.8"/>
    <n v="8"/>
    <n v="0.5"/>
    <n v="4592.09"/>
    <n v="9.484195845905552E-2"/>
  </r>
  <r>
    <x v="0"/>
    <d v="2024-04-01T00:00:00"/>
    <x v="0"/>
    <x v="3"/>
    <n v="69"/>
    <n v="17"/>
    <n v="342.81"/>
    <n v="6"/>
    <n v="0.35294117647058826"/>
    <n v="3728.2"/>
    <n v="0.66110584667677053"/>
  </r>
  <r>
    <x v="1"/>
    <d v="2024-04-01T00:00:00"/>
    <x v="0"/>
    <x v="3"/>
    <n v="83"/>
    <n v="11"/>
    <n v="365.12"/>
    <n v="5"/>
    <n v="0.45454545454545453"/>
    <n v="3682.69"/>
    <n v="0.67263994854769815"/>
  </r>
  <r>
    <x v="2"/>
    <d v="2024-04-01T00:00:00"/>
    <x v="0"/>
    <x v="3"/>
    <n v="41"/>
    <n v="14"/>
    <n v="416.88"/>
    <n v="2"/>
    <n v="0.14285714285714285"/>
    <n v="3638.83"/>
    <n v="0.11088646452834217"/>
  </r>
  <r>
    <x v="3"/>
    <d v="2024-04-01T00:00:00"/>
    <x v="0"/>
    <x v="3"/>
    <n v="17"/>
    <n v="7"/>
    <n v="81.14"/>
    <n v="3"/>
    <n v="0.42857142857142855"/>
    <n v="1419.04"/>
    <n v="8.6057556358747678E-2"/>
  </r>
  <r>
    <x v="4"/>
    <d v="2024-04-01T00:00:00"/>
    <x v="0"/>
    <x v="3"/>
    <n v="76"/>
    <n v="16"/>
    <n v="449.04"/>
    <n v="4"/>
    <n v="0.25"/>
    <n v="1019.97"/>
    <n v="0.65548448167593354"/>
  </r>
  <r>
    <x v="5"/>
    <d v="2024-04-01T00:00:00"/>
    <x v="0"/>
    <x v="3"/>
    <n v="72"/>
    <n v="6"/>
    <n v="508.55"/>
    <n v="3"/>
    <n v="0.5"/>
    <n v="3633.75"/>
    <n v="0.30741183123720506"/>
  </r>
  <r>
    <x v="6"/>
    <d v="2024-04-01T00:00:00"/>
    <x v="0"/>
    <x v="3"/>
    <n v="72"/>
    <n v="18"/>
    <n v="299.08999999999997"/>
    <n v="2"/>
    <n v="0.1111111111111111"/>
    <n v="2378.29"/>
    <n v="0.40898999652292822"/>
  </r>
  <r>
    <x v="7"/>
    <d v="2024-04-01T00:00:00"/>
    <x v="0"/>
    <x v="3"/>
    <n v="29"/>
    <n v="16"/>
    <n v="412.07"/>
    <n v="10"/>
    <n v="0.625"/>
    <n v="1075.94"/>
    <n v="0.19458455737129243"/>
  </r>
  <r>
    <x v="8"/>
    <d v="2024-04-01T00:00:00"/>
    <x v="0"/>
    <x v="3"/>
    <n v="64"/>
    <n v="13"/>
    <n v="317.58"/>
    <n v="8"/>
    <n v="0.61538461538461542"/>
    <n v="1088.22"/>
    <n v="0.76957326434108764"/>
  </r>
  <r>
    <x v="9"/>
    <d v="2024-04-01T00:00:00"/>
    <x v="0"/>
    <x v="3"/>
    <n v="81"/>
    <n v="16"/>
    <n v="584.29999999999995"/>
    <n v="3"/>
    <n v="0.1875"/>
    <n v="377.45"/>
    <n v="2.0825688227100736E-3"/>
  </r>
  <r>
    <x v="10"/>
    <d v="2024-04-01T00:00:00"/>
    <x v="0"/>
    <x v="3"/>
    <n v="26"/>
    <n v="6"/>
    <n v="231.59"/>
    <n v="2"/>
    <n v="0.33333333333333331"/>
    <n v="3988.15"/>
    <n v="0.52780610719450449"/>
  </r>
  <r>
    <x v="11"/>
    <d v="2024-04-01T00:00:00"/>
    <x v="0"/>
    <x v="3"/>
    <n v="103"/>
    <n v="6"/>
    <n v="165.74"/>
    <n v="6"/>
    <n v="1"/>
    <n v="1169.3800000000001"/>
    <n v="0.74899478738984437"/>
  </r>
  <r>
    <x v="12"/>
    <d v="2024-04-01T00:00:00"/>
    <x v="0"/>
    <x v="3"/>
    <n v="100"/>
    <n v="7"/>
    <n v="82.62"/>
    <n v="6"/>
    <n v="0.8571428571428571"/>
    <n v="4085.91"/>
    <n v="1.1992591327464996E-2"/>
  </r>
  <r>
    <x v="13"/>
    <d v="2024-04-01T00:00:00"/>
    <x v="0"/>
    <x v="3"/>
    <n v="104"/>
    <n v="22"/>
    <n v="190.87"/>
    <n v="4"/>
    <n v="0.18181818181818182"/>
    <n v="433.41"/>
    <n v="0.40524060658388794"/>
  </r>
  <r>
    <x v="14"/>
    <d v="2024-04-01T00:00:00"/>
    <x v="0"/>
    <x v="3"/>
    <n v="63"/>
    <n v="11"/>
    <n v="554.51"/>
    <n v="1"/>
    <n v="9.0909090909090912E-2"/>
    <n v="1138.51"/>
    <n v="0.79762401755318935"/>
  </r>
  <r>
    <x v="15"/>
    <d v="2024-04-01T00:00:00"/>
    <x v="0"/>
    <x v="3"/>
    <n v="22"/>
    <n v="13"/>
    <n v="302.49"/>
    <n v="2"/>
    <n v="0.15384615384615385"/>
    <n v="1591.45"/>
    <n v="0.22312664797639092"/>
  </r>
  <r>
    <x v="16"/>
    <d v="2024-04-01T00:00:00"/>
    <x v="0"/>
    <x v="3"/>
    <n v="77"/>
    <n v="8"/>
    <n v="173.88"/>
    <n v="6"/>
    <n v="0.75"/>
    <n v="462.44"/>
    <n v="0.54298366331126791"/>
  </r>
  <r>
    <x v="17"/>
    <d v="2024-04-01T00:00:00"/>
    <x v="0"/>
    <x v="3"/>
    <n v="90"/>
    <n v="17"/>
    <n v="366.84"/>
    <n v="0"/>
    <n v="0"/>
    <n v="3153.56"/>
    <n v="0.69456270484035887"/>
  </r>
  <r>
    <x v="18"/>
    <d v="2024-04-01T00:00:00"/>
    <x v="0"/>
    <x v="3"/>
    <n v="33"/>
    <n v="9"/>
    <n v="578.41999999999996"/>
    <n v="4"/>
    <n v="0.44444444444444442"/>
    <n v="229.72"/>
    <n v="0.97136932498322726"/>
  </r>
  <r>
    <x v="19"/>
    <d v="2024-04-01T00:00:00"/>
    <x v="0"/>
    <x v="3"/>
    <n v="42"/>
    <n v="14"/>
    <n v="321.29000000000002"/>
    <n v="7"/>
    <n v="0.5"/>
    <n v="4298.2700000000004"/>
    <n v="7.5845187714748463E-2"/>
  </r>
  <r>
    <x v="0"/>
    <d v="2024-05-01T00:00:00"/>
    <x v="0"/>
    <x v="4"/>
    <n v="69"/>
    <n v="16"/>
    <n v="299.22000000000003"/>
    <n v="6"/>
    <n v="0.375"/>
    <n v="3716.14"/>
    <n v="0.78141427805009689"/>
  </r>
  <r>
    <x v="1"/>
    <d v="2024-05-01T00:00:00"/>
    <x v="0"/>
    <x v="4"/>
    <n v="68"/>
    <n v="11"/>
    <n v="345.62"/>
    <n v="4"/>
    <n v="0.36363636363636365"/>
    <n v="3558.13"/>
    <n v="0.87711705281854446"/>
  </r>
  <r>
    <x v="2"/>
    <d v="2024-05-01T00:00:00"/>
    <x v="0"/>
    <x v="4"/>
    <n v="45"/>
    <n v="17"/>
    <n v="416.96"/>
    <n v="3"/>
    <n v="0.17647058823529413"/>
    <n v="3327.07"/>
    <n v="0.80623156378737371"/>
  </r>
  <r>
    <x v="3"/>
    <d v="2024-05-01T00:00:00"/>
    <x v="0"/>
    <x v="4"/>
    <n v="17"/>
    <n v="8"/>
    <n v="72.05"/>
    <n v="3"/>
    <n v="0.375"/>
    <n v="1672.82"/>
    <n v="2.8974040560997838E-2"/>
  </r>
  <r>
    <x v="4"/>
    <d v="2024-05-01T00:00:00"/>
    <x v="0"/>
    <x v="4"/>
    <n v="85"/>
    <n v="13"/>
    <n v="475.61"/>
    <n v="5"/>
    <n v="0.38461538461538464"/>
    <n v="939.32"/>
    <n v="0.41610167260125175"/>
  </r>
  <r>
    <x v="5"/>
    <d v="2024-05-01T00:00:00"/>
    <x v="0"/>
    <x v="4"/>
    <n v="49"/>
    <n v="7"/>
    <n v="469.53"/>
    <n v="3"/>
    <n v="0.42857142857142855"/>
    <n v="3623.32"/>
    <n v="3.3289227918539277E-2"/>
  </r>
  <r>
    <x v="6"/>
    <d v="2024-05-01T00:00:00"/>
    <x v="0"/>
    <x v="4"/>
    <n v="66"/>
    <n v="15"/>
    <n v="333.1"/>
    <n v="2"/>
    <n v="0.13333333333333333"/>
    <n v="2631.58"/>
    <n v="0.66145041103078195"/>
  </r>
  <r>
    <x v="7"/>
    <d v="2024-05-01T00:00:00"/>
    <x v="0"/>
    <x v="4"/>
    <n v="31"/>
    <n v="20"/>
    <n v="400.8"/>
    <n v="8"/>
    <n v="0.4"/>
    <n v="1294.3599999999999"/>
    <n v="0.87329404378046382"/>
  </r>
  <r>
    <x v="8"/>
    <d v="2024-05-01T00:00:00"/>
    <x v="0"/>
    <x v="4"/>
    <n v="75"/>
    <n v="19"/>
    <n v="343.28"/>
    <n v="9"/>
    <n v="0.47368421052631576"/>
    <n v="899.46"/>
    <n v="6.403416741862511E-5"/>
  </r>
  <r>
    <x v="9"/>
    <d v="2024-05-01T00:00:00"/>
    <x v="0"/>
    <x v="4"/>
    <n v="74"/>
    <n v="20"/>
    <n v="623.33000000000004"/>
    <n v="2"/>
    <n v="0.1"/>
    <n v="359.97"/>
    <n v="0.87340376779849982"/>
  </r>
  <r>
    <x v="10"/>
    <d v="2024-05-01T00:00:00"/>
    <x v="0"/>
    <x v="4"/>
    <n v="26"/>
    <n v="7"/>
    <n v="200.45"/>
    <n v="1"/>
    <n v="0.14285714285714285"/>
    <n v="3797.35"/>
    <n v="0.13856699178655785"/>
  </r>
  <r>
    <x v="11"/>
    <d v="2024-05-01T00:00:00"/>
    <x v="0"/>
    <x v="4"/>
    <n v="97"/>
    <n v="5"/>
    <n v="185.62"/>
    <n v="4"/>
    <n v="0.8"/>
    <n v="1282.81"/>
    <n v="0.43555532108454242"/>
  </r>
  <r>
    <x v="12"/>
    <d v="2024-05-01T00:00:00"/>
    <x v="0"/>
    <x v="4"/>
    <n v="91"/>
    <n v="7"/>
    <n v="89.39"/>
    <n v="6"/>
    <n v="0.8571428571428571"/>
    <n v="3971.59"/>
    <n v="0.67672818619800201"/>
  </r>
  <r>
    <x v="13"/>
    <d v="2024-05-01T00:00:00"/>
    <x v="0"/>
    <x v="4"/>
    <n v="91"/>
    <n v="15"/>
    <n v="173.03"/>
    <n v="4"/>
    <n v="0.26666666666666666"/>
    <n v="386.08"/>
    <n v="0.15096930668149255"/>
  </r>
  <r>
    <x v="14"/>
    <d v="2024-05-01T00:00:00"/>
    <x v="0"/>
    <x v="4"/>
    <n v="67"/>
    <n v="15"/>
    <n v="499.68"/>
    <n v="0"/>
    <n v="0"/>
    <n v="1287.1300000000001"/>
    <n v="0.8034390073138834"/>
  </r>
  <r>
    <x v="15"/>
    <d v="2024-05-01T00:00:00"/>
    <x v="0"/>
    <x v="4"/>
    <n v="19"/>
    <n v="13"/>
    <n v="316.23"/>
    <n v="1"/>
    <n v="7.6923076923076927E-2"/>
    <n v="1598.49"/>
    <n v="0.18302020892161464"/>
  </r>
  <r>
    <x v="16"/>
    <d v="2024-05-01T00:00:00"/>
    <x v="0"/>
    <x v="4"/>
    <n v="73"/>
    <n v="8"/>
    <n v="175.52"/>
    <n v="7"/>
    <n v="0.875"/>
    <n v="455.32"/>
    <n v="0.57879953909645021"/>
  </r>
  <r>
    <x v="17"/>
    <d v="2024-05-01T00:00:00"/>
    <x v="0"/>
    <x v="4"/>
    <n v="111"/>
    <n v="13"/>
    <n v="358.31"/>
    <n v="0"/>
    <n v="0"/>
    <n v="2811.77"/>
    <n v="0.23930308689790014"/>
  </r>
  <r>
    <x v="18"/>
    <d v="2024-05-01T00:00:00"/>
    <x v="0"/>
    <x v="4"/>
    <n v="38"/>
    <n v="12"/>
    <n v="556.33000000000004"/>
    <n v="4"/>
    <n v="0.33333333333333331"/>
    <n v="241.08"/>
    <n v="0.91589493522011933"/>
  </r>
  <r>
    <x v="19"/>
    <d v="2024-05-01T00:00:00"/>
    <x v="0"/>
    <x v="4"/>
    <n v="33"/>
    <n v="17"/>
    <n v="371.65"/>
    <n v="9"/>
    <n v="0.52941176470588236"/>
    <n v="4068.75"/>
    <n v="0.4495074562661171"/>
  </r>
  <r>
    <x v="0"/>
    <d v="2024-06-01T00:00:00"/>
    <x v="0"/>
    <x v="5"/>
    <n v="59"/>
    <n v="16"/>
    <n v="359.47"/>
    <n v="7"/>
    <n v="0.4375"/>
    <n v="3958.94"/>
    <n v="0.69316517134690725"/>
  </r>
  <r>
    <x v="1"/>
    <d v="2024-06-01T00:00:00"/>
    <x v="0"/>
    <x v="5"/>
    <n v="71"/>
    <n v="11"/>
    <n v="379.33"/>
    <n v="4"/>
    <n v="0.36363636363636365"/>
    <n v="4003.52"/>
    <n v="0.87721679874340641"/>
  </r>
  <r>
    <x v="2"/>
    <d v="2024-06-01T00:00:00"/>
    <x v="0"/>
    <x v="5"/>
    <n v="48"/>
    <n v="14"/>
    <n v="383.94"/>
    <n v="3"/>
    <n v="0.21428571428571427"/>
    <n v="3173.36"/>
    <n v="0.69764068183366434"/>
  </r>
  <r>
    <x v="3"/>
    <d v="2024-06-01T00:00:00"/>
    <x v="0"/>
    <x v="5"/>
    <n v="18"/>
    <n v="7"/>
    <n v="85.32"/>
    <n v="3"/>
    <n v="0.42857142857142855"/>
    <n v="1431.69"/>
    <n v="0.92152762494291962"/>
  </r>
  <r>
    <x v="4"/>
    <d v="2024-06-01T00:00:00"/>
    <x v="0"/>
    <x v="5"/>
    <n v="93"/>
    <n v="14"/>
    <n v="466.81"/>
    <n v="5"/>
    <n v="0.35714285714285715"/>
    <n v="988.98"/>
    <n v="4.1645774009183456E-2"/>
  </r>
  <r>
    <x v="5"/>
    <d v="2024-06-01T00:00:00"/>
    <x v="0"/>
    <x v="5"/>
    <n v="49"/>
    <n v="7"/>
    <n v="512.88"/>
    <n v="2"/>
    <n v="0.2857142857142857"/>
    <n v="3545.66"/>
    <n v="0.17656688277635624"/>
  </r>
  <r>
    <x v="6"/>
    <d v="2024-06-01T00:00:00"/>
    <x v="0"/>
    <x v="5"/>
    <n v="85"/>
    <n v="17"/>
    <n v="324.56"/>
    <n v="3"/>
    <n v="0.17647058823529413"/>
    <n v="2420.5300000000002"/>
    <n v="0.66834159756534983"/>
  </r>
  <r>
    <x v="7"/>
    <d v="2024-06-01T00:00:00"/>
    <x v="0"/>
    <x v="5"/>
    <n v="30"/>
    <n v="16"/>
    <n v="353.65"/>
    <n v="9"/>
    <n v="0.5625"/>
    <n v="1213.5899999999999"/>
    <n v="0.48175881388925168"/>
  </r>
  <r>
    <x v="8"/>
    <d v="2024-06-01T00:00:00"/>
    <x v="0"/>
    <x v="5"/>
    <n v="54"/>
    <n v="16"/>
    <n v="334.41"/>
    <n v="9"/>
    <n v="0.5625"/>
    <n v="1056.98"/>
    <n v="0.59780086961654388"/>
  </r>
  <r>
    <x v="9"/>
    <d v="2024-06-01T00:00:00"/>
    <x v="0"/>
    <x v="5"/>
    <n v="73"/>
    <n v="21"/>
    <n v="601.02"/>
    <n v="2"/>
    <n v="9.5238095238095233E-2"/>
    <n v="364.56"/>
    <n v="0.26881742303257705"/>
  </r>
  <r>
    <x v="10"/>
    <d v="2024-06-01T00:00:00"/>
    <x v="0"/>
    <x v="5"/>
    <n v="36"/>
    <n v="9"/>
    <n v="196.74"/>
    <n v="1"/>
    <n v="0.1111111111111111"/>
    <n v="3760.57"/>
    <n v="3.5728082925141513E-2"/>
  </r>
  <r>
    <x v="11"/>
    <d v="2024-06-01T00:00:00"/>
    <x v="0"/>
    <x v="5"/>
    <n v="100"/>
    <n v="5"/>
    <n v="153.87"/>
    <n v="2"/>
    <n v="0.4"/>
    <n v="1190.24"/>
    <n v="0.60361285621703564"/>
  </r>
  <r>
    <x v="12"/>
    <d v="2024-06-01T00:00:00"/>
    <x v="0"/>
    <x v="5"/>
    <n v="93"/>
    <n v="5"/>
    <n v="85.65"/>
    <n v="5"/>
    <n v="1"/>
    <n v="3913.17"/>
    <n v="0.14739976243283148"/>
  </r>
  <r>
    <x v="13"/>
    <d v="2024-06-01T00:00:00"/>
    <x v="0"/>
    <x v="5"/>
    <n v="88"/>
    <n v="18"/>
    <n v="181.21"/>
    <n v="4"/>
    <n v="0.22222222222222221"/>
    <n v="377.13"/>
    <n v="0.7122223471353033"/>
  </r>
  <r>
    <x v="14"/>
    <d v="2024-06-01T00:00:00"/>
    <x v="0"/>
    <x v="5"/>
    <n v="69"/>
    <n v="16"/>
    <n v="495.32"/>
    <n v="0"/>
    <n v="0"/>
    <n v="1262.99"/>
    <n v="0.35187599528253266"/>
  </r>
  <r>
    <x v="15"/>
    <d v="2024-06-01T00:00:00"/>
    <x v="0"/>
    <x v="5"/>
    <n v="21"/>
    <n v="16"/>
    <n v="315.91000000000003"/>
    <n v="1"/>
    <n v="6.25E-2"/>
    <n v="1455.83"/>
    <n v="0.65470769499832204"/>
  </r>
  <r>
    <x v="16"/>
    <d v="2024-06-01T00:00:00"/>
    <x v="0"/>
    <x v="5"/>
    <n v="58"/>
    <n v="7"/>
    <n v="173.24"/>
    <n v="7"/>
    <n v="1"/>
    <n v="525.73"/>
    <n v="0.99631554892691099"/>
  </r>
  <r>
    <x v="17"/>
    <d v="2024-06-01T00:00:00"/>
    <x v="0"/>
    <x v="5"/>
    <n v="114"/>
    <n v="13"/>
    <n v="364.35"/>
    <n v="0"/>
    <n v="0"/>
    <n v="2988.28"/>
    <n v="0.83604580160499287"/>
  </r>
  <r>
    <x v="18"/>
    <d v="2024-06-01T00:00:00"/>
    <x v="0"/>
    <x v="5"/>
    <n v="35"/>
    <n v="12"/>
    <n v="515.24"/>
    <n v="5"/>
    <n v="0.41666666666666669"/>
    <n v="224.24"/>
    <n v="0.88619625041633343"/>
  </r>
  <r>
    <x v="19"/>
    <d v="2024-06-01T00:00:00"/>
    <x v="0"/>
    <x v="5"/>
    <n v="35"/>
    <n v="16"/>
    <n v="351.71"/>
    <n v="9"/>
    <n v="0.5625"/>
    <n v="3984.69"/>
    <n v="0.28327187181323776"/>
  </r>
  <r>
    <x v="0"/>
    <d v="2024-07-01T00:00:00"/>
    <x v="0"/>
    <x v="6"/>
    <n v="71"/>
    <n v="17"/>
    <n v="360.1"/>
    <n v="6"/>
    <n v="0.35294117647058826"/>
    <n v="4444.83"/>
    <n v="0.81700973472188121"/>
  </r>
  <r>
    <x v="1"/>
    <d v="2024-07-01T00:00:00"/>
    <x v="0"/>
    <x v="6"/>
    <n v="62"/>
    <n v="13"/>
    <n v="364.64"/>
    <n v="4"/>
    <n v="0.30769230769230771"/>
    <n v="3704.33"/>
    <n v="0.20112014498395692"/>
  </r>
  <r>
    <x v="2"/>
    <d v="2024-07-01T00:00:00"/>
    <x v="0"/>
    <x v="6"/>
    <n v="53"/>
    <n v="14"/>
    <n v="367.56"/>
    <n v="2"/>
    <n v="0.14285714285714285"/>
    <n v="3514.07"/>
    <n v="9.6927099088973234E-2"/>
  </r>
  <r>
    <x v="3"/>
    <d v="2024-07-01T00:00:00"/>
    <x v="0"/>
    <x v="6"/>
    <n v="18"/>
    <n v="6"/>
    <n v="76.27"/>
    <n v="4"/>
    <n v="0.66666666666666663"/>
    <n v="1597.98"/>
    <n v="0.9540531772114127"/>
  </r>
  <r>
    <x v="4"/>
    <d v="2024-07-01T00:00:00"/>
    <x v="0"/>
    <x v="6"/>
    <n v="71"/>
    <n v="12"/>
    <n v="487.04"/>
    <n v="5"/>
    <n v="0.41666666666666669"/>
    <n v="1004.9"/>
    <n v="0.9181314914040769"/>
  </r>
  <r>
    <x v="5"/>
    <d v="2024-07-01T00:00:00"/>
    <x v="0"/>
    <x v="6"/>
    <n v="70"/>
    <n v="5"/>
    <n v="491.31"/>
    <n v="3"/>
    <n v="0.6"/>
    <n v="3289.06"/>
    <n v="1.9405932921561009E-2"/>
  </r>
  <r>
    <x v="6"/>
    <d v="2024-07-01T00:00:00"/>
    <x v="0"/>
    <x v="6"/>
    <n v="77"/>
    <n v="15"/>
    <n v="282.58999999999997"/>
    <n v="2"/>
    <n v="0.13333333333333333"/>
    <n v="2296.14"/>
    <n v="0.60319867983192643"/>
  </r>
  <r>
    <x v="7"/>
    <d v="2024-07-01T00:00:00"/>
    <x v="0"/>
    <x v="6"/>
    <n v="31"/>
    <n v="15"/>
    <n v="347.38"/>
    <n v="10"/>
    <n v="0.66666666666666663"/>
    <n v="1101.06"/>
    <n v="0.70313882936360339"/>
  </r>
  <r>
    <x v="8"/>
    <d v="2024-07-01T00:00:00"/>
    <x v="0"/>
    <x v="6"/>
    <n v="77"/>
    <n v="16"/>
    <n v="335.59"/>
    <n v="7"/>
    <n v="0.4375"/>
    <n v="1087.4100000000001"/>
    <n v="0.71866663606315584"/>
  </r>
  <r>
    <x v="9"/>
    <d v="2024-07-01T00:00:00"/>
    <x v="0"/>
    <x v="6"/>
    <n v="72"/>
    <n v="21"/>
    <n v="604.57000000000005"/>
    <n v="2"/>
    <n v="9.5238095238095233E-2"/>
    <n v="327.82"/>
    <n v="0.14309946778690452"/>
  </r>
  <r>
    <x v="10"/>
    <d v="2024-07-01T00:00:00"/>
    <x v="0"/>
    <x v="6"/>
    <n v="34"/>
    <n v="7"/>
    <n v="199.39"/>
    <n v="1"/>
    <n v="0.14285714285714285"/>
    <n v="3767.74"/>
    <n v="0.92433024633327121"/>
  </r>
  <r>
    <x v="11"/>
    <d v="2024-07-01T00:00:00"/>
    <x v="0"/>
    <x v="6"/>
    <n v="83"/>
    <n v="5"/>
    <n v="166.85"/>
    <n v="4"/>
    <n v="0.8"/>
    <n v="1364.24"/>
    <n v="0.66765615715769489"/>
  </r>
  <r>
    <x v="12"/>
    <d v="2024-07-01T00:00:00"/>
    <x v="0"/>
    <x v="6"/>
    <n v="71"/>
    <n v="7"/>
    <n v="78.53"/>
    <n v="4"/>
    <n v="0.5714285714285714"/>
    <n v="3652.64"/>
    <n v="0.99777201995209885"/>
  </r>
  <r>
    <x v="13"/>
    <d v="2024-07-01T00:00:00"/>
    <x v="0"/>
    <x v="6"/>
    <n v="75"/>
    <n v="17"/>
    <n v="176.07"/>
    <n v="5"/>
    <n v="0.29411764705882354"/>
    <n v="458.18"/>
    <n v="0.37466331943171749"/>
  </r>
  <r>
    <x v="14"/>
    <d v="2024-07-01T00:00:00"/>
    <x v="0"/>
    <x v="6"/>
    <n v="76"/>
    <n v="11"/>
    <n v="486.93"/>
    <n v="0"/>
    <n v="0"/>
    <n v="1219.29"/>
    <n v="0.33158310545669778"/>
  </r>
  <r>
    <x v="15"/>
    <d v="2024-07-01T00:00:00"/>
    <x v="0"/>
    <x v="6"/>
    <n v="20"/>
    <n v="14"/>
    <n v="283.66000000000003"/>
    <n v="2"/>
    <n v="0.14285714285714285"/>
    <n v="1494.14"/>
    <n v="0.18967884010724945"/>
  </r>
  <r>
    <x v="16"/>
    <d v="2024-07-01T00:00:00"/>
    <x v="0"/>
    <x v="6"/>
    <n v="82"/>
    <n v="9"/>
    <n v="171.86"/>
    <n v="7"/>
    <n v="0.77777777777777779"/>
    <n v="506.88"/>
    <n v="0.30844296513815395"/>
  </r>
  <r>
    <x v="17"/>
    <d v="2024-07-01T00:00:00"/>
    <x v="0"/>
    <x v="6"/>
    <n v="103"/>
    <n v="15"/>
    <n v="359.16"/>
    <n v="1"/>
    <n v="6.6666666666666666E-2"/>
    <n v="2949.94"/>
    <n v="0.57713990791014469"/>
  </r>
  <r>
    <x v="18"/>
    <d v="2024-07-01T00:00:00"/>
    <x v="0"/>
    <x v="6"/>
    <n v="41"/>
    <n v="9"/>
    <n v="569.97"/>
    <n v="5"/>
    <n v="0.55555555555555558"/>
    <n v="259.86"/>
    <n v="0.38542566990817051"/>
  </r>
  <r>
    <x v="19"/>
    <d v="2024-07-01T00:00:00"/>
    <x v="0"/>
    <x v="6"/>
    <n v="38"/>
    <n v="14"/>
    <n v="359.22"/>
    <n v="8"/>
    <n v="0.5714285714285714"/>
    <n v="3846.34"/>
    <n v="0.8825190351269353"/>
  </r>
  <r>
    <x v="0"/>
    <d v="2024-08-01T00:00:00"/>
    <x v="0"/>
    <x v="7"/>
    <n v="71"/>
    <n v="15"/>
    <n v="297.05"/>
    <n v="6"/>
    <n v="0.4"/>
    <n v="4043.62"/>
    <n v="0.96446730737008357"/>
  </r>
  <r>
    <x v="1"/>
    <d v="2024-08-01T00:00:00"/>
    <x v="0"/>
    <x v="7"/>
    <n v="66"/>
    <n v="13"/>
    <n v="376.76"/>
    <n v="5"/>
    <n v="0.38461538461538464"/>
    <n v="3819.73"/>
    <n v="0.16731259650900809"/>
  </r>
  <r>
    <x v="2"/>
    <d v="2024-08-01T00:00:00"/>
    <x v="0"/>
    <x v="7"/>
    <n v="53"/>
    <n v="15"/>
    <n v="379.29"/>
    <n v="2"/>
    <n v="0.13333333333333333"/>
    <n v="3409.69"/>
    <n v="0.13329331581339965"/>
  </r>
  <r>
    <x v="3"/>
    <d v="2024-08-01T00:00:00"/>
    <x v="0"/>
    <x v="7"/>
    <n v="18"/>
    <n v="8"/>
    <n v="82.91"/>
    <n v="3"/>
    <n v="0.375"/>
    <n v="1387.86"/>
    <n v="0.92621059315186183"/>
  </r>
  <r>
    <x v="4"/>
    <d v="2024-08-01T00:00:00"/>
    <x v="0"/>
    <x v="7"/>
    <n v="72"/>
    <n v="14"/>
    <n v="437.47"/>
    <n v="4"/>
    <n v="0.2857142857142857"/>
    <n v="958.02"/>
    <n v="0.4827288663749798"/>
  </r>
  <r>
    <x v="5"/>
    <d v="2024-08-01T00:00:00"/>
    <x v="0"/>
    <x v="7"/>
    <n v="64"/>
    <n v="7"/>
    <n v="554.20000000000005"/>
    <n v="2"/>
    <n v="0.2857142857142857"/>
    <n v="3620.9"/>
    <n v="0.31834848027735407"/>
  </r>
  <r>
    <x v="6"/>
    <d v="2024-08-01T00:00:00"/>
    <x v="0"/>
    <x v="7"/>
    <n v="76"/>
    <n v="21"/>
    <n v="293.93"/>
    <n v="2"/>
    <n v="9.5238095238095233E-2"/>
    <n v="2531.4"/>
    <n v="0.57694875735363693"/>
  </r>
  <r>
    <x v="7"/>
    <d v="2024-08-01T00:00:00"/>
    <x v="0"/>
    <x v="7"/>
    <n v="26"/>
    <n v="17"/>
    <n v="391.73"/>
    <n v="7"/>
    <n v="0.41176470588235292"/>
    <n v="1166.55"/>
    <n v="0.41590365211917679"/>
  </r>
  <r>
    <x v="8"/>
    <d v="2024-08-01T00:00:00"/>
    <x v="0"/>
    <x v="7"/>
    <n v="65"/>
    <n v="13"/>
    <n v="324.26"/>
    <n v="7"/>
    <n v="0.53846153846153844"/>
    <n v="1044.8599999999999"/>
    <n v="0.89967374220112506"/>
  </r>
  <r>
    <x v="9"/>
    <d v="2024-08-01T00:00:00"/>
    <x v="0"/>
    <x v="7"/>
    <n v="83"/>
    <n v="15"/>
    <n v="601.05999999999995"/>
    <n v="3"/>
    <n v="0.2"/>
    <n v="350.62"/>
    <n v="0.77039258746783867"/>
  </r>
  <r>
    <x v="10"/>
    <d v="2024-08-01T00:00:00"/>
    <x v="0"/>
    <x v="7"/>
    <n v="35"/>
    <n v="6"/>
    <n v="192.19"/>
    <n v="1"/>
    <n v="0.16666666666666666"/>
    <n v="3963.32"/>
    <n v="0.67362188226207798"/>
  </r>
  <r>
    <x v="11"/>
    <d v="2024-08-01T00:00:00"/>
    <x v="0"/>
    <x v="7"/>
    <n v="104"/>
    <n v="4"/>
    <n v="169.75"/>
    <n v="3"/>
    <n v="0.75"/>
    <n v="1255.83"/>
    <n v="0.47477626130326811"/>
  </r>
  <r>
    <x v="12"/>
    <d v="2024-08-01T00:00:00"/>
    <x v="0"/>
    <x v="7"/>
    <n v="71"/>
    <n v="6"/>
    <n v="87.5"/>
    <n v="3"/>
    <n v="0.5"/>
    <n v="3666.64"/>
    <n v="0.93344478347754967"/>
  </r>
  <r>
    <x v="13"/>
    <d v="2024-08-01T00:00:00"/>
    <x v="0"/>
    <x v="7"/>
    <n v="85"/>
    <n v="17"/>
    <n v="187.72"/>
    <n v="5"/>
    <n v="0.29411764705882354"/>
    <n v="443.22"/>
    <n v="9.4331919871830983E-2"/>
  </r>
  <r>
    <x v="14"/>
    <d v="2024-08-01T00:00:00"/>
    <x v="0"/>
    <x v="7"/>
    <n v="80"/>
    <n v="13"/>
    <n v="504.59"/>
    <n v="0"/>
    <n v="0"/>
    <n v="1265.47"/>
    <n v="0.69661462034131449"/>
  </r>
  <r>
    <x v="15"/>
    <d v="2024-08-01T00:00:00"/>
    <x v="0"/>
    <x v="7"/>
    <n v="18"/>
    <n v="12"/>
    <n v="262.26"/>
    <n v="1"/>
    <n v="8.3333333333333329E-2"/>
    <n v="1573.7"/>
    <n v="0.68904961039885759"/>
  </r>
  <r>
    <x v="16"/>
    <d v="2024-08-01T00:00:00"/>
    <x v="0"/>
    <x v="7"/>
    <n v="71"/>
    <n v="9"/>
    <n v="172.96"/>
    <n v="6"/>
    <n v="0.66666666666666663"/>
    <n v="464.49"/>
    <n v="0.98835432384787847"/>
  </r>
  <r>
    <x v="17"/>
    <d v="2024-08-01T00:00:00"/>
    <x v="0"/>
    <x v="7"/>
    <n v="115"/>
    <n v="17"/>
    <n v="422.48"/>
    <n v="0"/>
    <n v="0"/>
    <n v="2681.51"/>
    <n v="3.9331881116160927E-2"/>
  </r>
  <r>
    <x v="18"/>
    <d v="2024-08-01T00:00:00"/>
    <x v="0"/>
    <x v="7"/>
    <n v="34"/>
    <n v="10"/>
    <n v="565.11"/>
    <n v="5"/>
    <n v="0.5"/>
    <n v="222.62"/>
    <n v="0.945234315259879"/>
  </r>
  <r>
    <x v="19"/>
    <d v="2024-08-01T00:00:00"/>
    <x v="0"/>
    <x v="7"/>
    <n v="40"/>
    <n v="17"/>
    <n v="355.83"/>
    <n v="6"/>
    <n v="0.35294117647058826"/>
    <n v="4155.8599999999997"/>
    <n v="0.6219641246809644"/>
  </r>
  <r>
    <x v="0"/>
    <d v="2024-09-01T00:00:00"/>
    <x v="0"/>
    <x v="8"/>
    <n v="51"/>
    <n v="15"/>
    <n v="349.71"/>
    <n v="8"/>
    <n v="0.53333333333333333"/>
    <n v="4017.54"/>
    <n v="0.94290678890592405"/>
  </r>
  <r>
    <x v="1"/>
    <d v="2024-09-01T00:00:00"/>
    <x v="0"/>
    <x v="8"/>
    <n v="79"/>
    <n v="9"/>
    <n v="358.67"/>
    <n v="5"/>
    <n v="0.55555555555555558"/>
    <n v="3658.64"/>
    <n v="0.4174427540790554"/>
  </r>
  <r>
    <x v="2"/>
    <d v="2024-09-01T00:00:00"/>
    <x v="0"/>
    <x v="8"/>
    <n v="57"/>
    <n v="18"/>
    <n v="403.41"/>
    <n v="3"/>
    <n v="0.16666666666666666"/>
    <n v="3767.63"/>
    <n v="0.97935352392711017"/>
  </r>
  <r>
    <x v="3"/>
    <d v="2024-09-01T00:00:00"/>
    <x v="0"/>
    <x v="8"/>
    <n v="24"/>
    <n v="7"/>
    <n v="79.62"/>
    <n v="4"/>
    <n v="0.5714285714285714"/>
    <n v="1650.69"/>
    <n v="0.58375456519139368"/>
  </r>
  <r>
    <x v="4"/>
    <d v="2024-09-01T00:00:00"/>
    <x v="0"/>
    <x v="8"/>
    <n v="77"/>
    <n v="11"/>
    <n v="487.47"/>
    <n v="4"/>
    <n v="0.36363636363636365"/>
    <n v="990.89"/>
    <n v="0.43846452574063344"/>
  </r>
  <r>
    <x v="5"/>
    <d v="2024-09-01T00:00:00"/>
    <x v="0"/>
    <x v="8"/>
    <n v="69"/>
    <n v="7"/>
    <n v="549.77"/>
    <n v="2"/>
    <n v="0.2857142857142857"/>
    <n v="3916.58"/>
    <n v="3.071512696303047E-2"/>
  </r>
  <r>
    <x v="6"/>
    <d v="2024-09-01T00:00:00"/>
    <x v="0"/>
    <x v="8"/>
    <n v="74"/>
    <n v="18"/>
    <n v="306.89999999999998"/>
    <n v="3"/>
    <n v="0.16666666666666666"/>
    <n v="2254.16"/>
    <n v="0.28441603249472847"/>
  </r>
  <r>
    <x v="7"/>
    <d v="2024-09-01T00:00:00"/>
    <x v="0"/>
    <x v="8"/>
    <n v="26"/>
    <n v="21"/>
    <n v="359.51"/>
    <n v="9"/>
    <n v="0.42857142857142855"/>
    <n v="1187.3699999999999"/>
    <n v="0.14284603094320913"/>
  </r>
  <r>
    <x v="8"/>
    <d v="2024-09-01T00:00:00"/>
    <x v="0"/>
    <x v="8"/>
    <n v="76"/>
    <n v="18"/>
    <n v="339.1"/>
    <n v="8"/>
    <n v="0.44444444444444442"/>
    <n v="924.79"/>
    <n v="0.31491794790429772"/>
  </r>
  <r>
    <x v="9"/>
    <d v="2024-09-01T00:00:00"/>
    <x v="0"/>
    <x v="8"/>
    <n v="87"/>
    <n v="21"/>
    <n v="633.13"/>
    <n v="2"/>
    <n v="9.5238095238095233E-2"/>
    <n v="336.22"/>
    <n v="0.53993246456067112"/>
  </r>
  <r>
    <x v="10"/>
    <d v="2024-09-01T00:00:00"/>
    <x v="0"/>
    <x v="8"/>
    <n v="37"/>
    <n v="8"/>
    <n v="215.09"/>
    <n v="2"/>
    <n v="0.25"/>
    <n v="3424.83"/>
    <n v="0.95350027598368026"/>
  </r>
  <r>
    <x v="11"/>
    <d v="2024-09-01T00:00:00"/>
    <x v="0"/>
    <x v="8"/>
    <n v="81"/>
    <n v="5"/>
    <n v="153.5"/>
    <n v="2"/>
    <n v="0.4"/>
    <n v="1307.47"/>
    <n v="0.71425325883104218"/>
  </r>
  <r>
    <x v="12"/>
    <d v="2024-09-01T00:00:00"/>
    <x v="0"/>
    <x v="8"/>
    <n v="93"/>
    <n v="5"/>
    <n v="77.12"/>
    <n v="2"/>
    <n v="0.4"/>
    <n v="3483.91"/>
    <n v="0.61278339968777318"/>
  </r>
  <r>
    <x v="13"/>
    <d v="2024-09-01T00:00:00"/>
    <x v="0"/>
    <x v="8"/>
    <n v="86"/>
    <n v="17"/>
    <n v="160.88999999999999"/>
    <n v="4"/>
    <n v="0.23529411764705882"/>
    <n v="418.33"/>
    <n v="0.81795997533291165"/>
  </r>
  <r>
    <x v="14"/>
    <d v="2024-09-01T00:00:00"/>
    <x v="0"/>
    <x v="8"/>
    <n v="72"/>
    <n v="11"/>
    <n v="459.86"/>
    <n v="0"/>
    <n v="0"/>
    <n v="1269.5999999999999"/>
    <n v="0.80284159731598048"/>
  </r>
  <r>
    <x v="15"/>
    <d v="2024-09-01T00:00:00"/>
    <x v="0"/>
    <x v="8"/>
    <n v="18"/>
    <n v="13"/>
    <n v="290.14"/>
    <n v="2"/>
    <n v="0.15384615384615385"/>
    <n v="1444.65"/>
    <n v="4.6639664877318521E-2"/>
  </r>
  <r>
    <x v="16"/>
    <d v="2024-09-01T00:00:00"/>
    <x v="0"/>
    <x v="8"/>
    <n v="75"/>
    <n v="8"/>
    <n v="177.88"/>
    <n v="7"/>
    <n v="0.875"/>
    <n v="507.1"/>
    <n v="0.42672647866328439"/>
  </r>
  <r>
    <x v="17"/>
    <d v="2024-09-01T00:00:00"/>
    <x v="0"/>
    <x v="8"/>
    <n v="98"/>
    <n v="12"/>
    <n v="406.95"/>
    <n v="0"/>
    <n v="0"/>
    <n v="2978.09"/>
    <n v="6.521306568638896E-2"/>
  </r>
  <r>
    <x v="18"/>
    <d v="2024-09-01T00:00:00"/>
    <x v="0"/>
    <x v="8"/>
    <n v="33"/>
    <n v="13"/>
    <n v="517.1"/>
    <n v="4"/>
    <n v="0.30769230769230771"/>
    <n v="250.08"/>
    <n v="0.48909946877132082"/>
  </r>
  <r>
    <x v="19"/>
    <d v="2024-09-01T00:00:00"/>
    <x v="0"/>
    <x v="8"/>
    <n v="35"/>
    <n v="18"/>
    <n v="348.92"/>
    <n v="7"/>
    <n v="0.3888888888888889"/>
    <n v="4381.3900000000003"/>
    <n v="0.4636281883752108"/>
  </r>
  <r>
    <x v="0"/>
    <d v="2024-10-01T00:00:00"/>
    <x v="0"/>
    <x v="9"/>
    <n v="74"/>
    <n v="16"/>
    <n v="308.51"/>
    <n v="7"/>
    <n v="0.4375"/>
    <n v="4267.5"/>
    <n v="0.75147841668284754"/>
  </r>
  <r>
    <x v="1"/>
    <d v="2024-10-01T00:00:00"/>
    <x v="0"/>
    <x v="9"/>
    <n v="72"/>
    <n v="10"/>
    <n v="362.58"/>
    <n v="5"/>
    <n v="0.5"/>
    <n v="3679.65"/>
    <n v="8.720453465567013E-2"/>
  </r>
  <r>
    <x v="2"/>
    <d v="2024-10-01T00:00:00"/>
    <x v="0"/>
    <x v="9"/>
    <n v="58"/>
    <n v="13"/>
    <n v="368.06"/>
    <n v="2"/>
    <n v="0.15384615384615385"/>
    <n v="3626.22"/>
    <n v="0.77947285209683315"/>
  </r>
  <r>
    <x v="3"/>
    <d v="2024-10-01T00:00:00"/>
    <x v="0"/>
    <x v="9"/>
    <n v="22"/>
    <n v="7"/>
    <n v="74.680000000000007"/>
    <n v="4"/>
    <n v="0.5714285714285714"/>
    <n v="1543.72"/>
    <n v="0.11921985367076804"/>
  </r>
  <r>
    <x v="4"/>
    <d v="2024-10-01T00:00:00"/>
    <x v="0"/>
    <x v="9"/>
    <n v="74"/>
    <n v="15"/>
    <n v="460.2"/>
    <n v="4"/>
    <n v="0.26666666666666666"/>
    <n v="980.1"/>
    <n v="0.72329697931764669"/>
  </r>
  <r>
    <x v="5"/>
    <d v="2024-10-01T00:00:00"/>
    <x v="0"/>
    <x v="9"/>
    <n v="62"/>
    <n v="8"/>
    <n v="540.79999999999995"/>
    <n v="3"/>
    <n v="0.375"/>
    <n v="3928.71"/>
    <n v="0.7251880972295911"/>
  </r>
  <r>
    <x v="6"/>
    <d v="2024-10-01T00:00:00"/>
    <x v="0"/>
    <x v="9"/>
    <n v="70"/>
    <n v="21"/>
    <n v="319.62"/>
    <n v="3"/>
    <n v="0.14285714285714285"/>
    <n v="2486.2199999999998"/>
    <n v="6.5900055032659388E-3"/>
  </r>
  <r>
    <x v="7"/>
    <d v="2024-10-01T00:00:00"/>
    <x v="0"/>
    <x v="9"/>
    <n v="32"/>
    <n v="16"/>
    <n v="393.04"/>
    <n v="7"/>
    <n v="0.4375"/>
    <n v="1286.18"/>
    <n v="0.61106363440607847"/>
  </r>
  <r>
    <x v="8"/>
    <d v="2024-10-01T00:00:00"/>
    <x v="0"/>
    <x v="9"/>
    <n v="71"/>
    <n v="16"/>
    <n v="323.56"/>
    <n v="9"/>
    <n v="0.5625"/>
    <n v="957.05"/>
    <n v="0.99588285616445482"/>
  </r>
  <r>
    <x v="9"/>
    <d v="2024-10-01T00:00:00"/>
    <x v="0"/>
    <x v="9"/>
    <n v="73"/>
    <n v="17"/>
    <n v="557.29999999999995"/>
    <n v="3"/>
    <n v="0.17647058823529413"/>
    <n v="376.66"/>
    <n v="0.57847061556081847"/>
  </r>
  <r>
    <x v="10"/>
    <d v="2024-10-01T00:00:00"/>
    <x v="0"/>
    <x v="9"/>
    <n v="27"/>
    <n v="6"/>
    <n v="202.37"/>
    <n v="1"/>
    <n v="0.16666666666666666"/>
    <n v="3781.81"/>
    <n v="0.20111740325166239"/>
  </r>
  <r>
    <x v="11"/>
    <d v="2024-10-01T00:00:00"/>
    <x v="0"/>
    <x v="9"/>
    <n v="106"/>
    <n v="5"/>
    <n v="163.38"/>
    <n v="1"/>
    <n v="0.2"/>
    <n v="1148.1400000000001"/>
    <n v="0.32882989734538204"/>
  </r>
  <r>
    <x v="12"/>
    <d v="2024-10-01T00:00:00"/>
    <x v="0"/>
    <x v="9"/>
    <n v="102"/>
    <n v="5"/>
    <n v="86.37"/>
    <n v="5"/>
    <n v="1"/>
    <n v="3851.19"/>
    <n v="0.50938073816721441"/>
  </r>
  <r>
    <x v="13"/>
    <d v="2024-10-01T00:00:00"/>
    <x v="0"/>
    <x v="9"/>
    <n v="104"/>
    <n v="20"/>
    <n v="181.9"/>
    <n v="4"/>
    <n v="0.2"/>
    <n v="400.92"/>
    <n v="6.8844379949109635E-2"/>
  </r>
  <r>
    <x v="14"/>
    <d v="2024-10-01T00:00:00"/>
    <x v="0"/>
    <x v="9"/>
    <n v="64"/>
    <n v="15"/>
    <n v="514.38"/>
    <n v="0"/>
    <n v="0"/>
    <n v="1220.5899999999999"/>
    <n v="0.61117388803578676"/>
  </r>
  <r>
    <x v="15"/>
    <d v="2024-10-01T00:00:00"/>
    <x v="0"/>
    <x v="9"/>
    <n v="21"/>
    <n v="15"/>
    <n v="309.75"/>
    <n v="2"/>
    <n v="0.13333333333333333"/>
    <n v="1649.09"/>
    <n v="0.58233509854933674"/>
  </r>
  <r>
    <x v="16"/>
    <d v="2024-10-01T00:00:00"/>
    <x v="0"/>
    <x v="9"/>
    <n v="63"/>
    <n v="10"/>
    <n v="194.21"/>
    <n v="7"/>
    <n v="0.7"/>
    <n v="508.84"/>
    <n v="0.54367484842445168"/>
  </r>
  <r>
    <x v="17"/>
    <d v="2024-10-01T00:00:00"/>
    <x v="0"/>
    <x v="9"/>
    <n v="85"/>
    <n v="15"/>
    <n v="400.65"/>
    <n v="0"/>
    <n v="0"/>
    <n v="2890.62"/>
    <n v="0.58305081366740075"/>
  </r>
  <r>
    <x v="18"/>
    <d v="2024-10-01T00:00:00"/>
    <x v="0"/>
    <x v="9"/>
    <n v="36"/>
    <n v="10"/>
    <n v="535.44000000000005"/>
    <n v="4"/>
    <n v="0.4"/>
    <n v="241.26"/>
    <n v="0.86454345485992501"/>
  </r>
  <r>
    <x v="19"/>
    <d v="2024-10-01T00:00:00"/>
    <x v="0"/>
    <x v="9"/>
    <n v="34"/>
    <n v="12"/>
    <n v="356.4"/>
    <n v="8"/>
    <n v="0.66666666666666663"/>
    <n v="4111.76"/>
    <n v="0.61691440136142273"/>
  </r>
  <r>
    <x v="0"/>
    <d v="2024-11-01T00:00:00"/>
    <x v="0"/>
    <x v="10"/>
    <n v="67"/>
    <n v="12"/>
    <n v="352.6"/>
    <n v="6"/>
    <n v="0.5"/>
    <n v="4402.41"/>
    <n v="0.92921508977655798"/>
  </r>
  <r>
    <x v="1"/>
    <d v="2024-11-01T00:00:00"/>
    <x v="0"/>
    <x v="10"/>
    <n v="76"/>
    <n v="14"/>
    <n v="351.42"/>
    <n v="4"/>
    <n v="0.2857142857142857"/>
    <n v="3917.99"/>
    <n v="0.23991436873754957"/>
  </r>
  <r>
    <x v="2"/>
    <d v="2024-11-01T00:00:00"/>
    <x v="0"/>
    <x v="10"/>
    <n v="53"/>
    <n v="17"/>
    <n v="404.22"/>
    <n v="2"/>
    <n v="0.11764705882352941"/>
    <n v="3669.4"/>
    <n v="0.75106590289978015"/>
  </r>
  <r>
    <x v="3"/>
    <d v="2024-11-01T00:00:00"/>
    <x v="0"/>
    <x v="10"/>
    <n v="22"/>
    <n v="6"/>
    <n v="80.02"/>
    <n v="3"/>
    <n v="0.5"/>
    <n v="1476.69"/>
    <n v="0.53167683057281589"/>
  </r>
  <r>
    <x v="4"/>
    <d v="2024-11-01T00:00:00"/>
    <x v="0"/>
    <x v="10"/>
    <n v="77"/>
    <n v="16"/>
    <n v="502.41"/>
    <n v="5"/>
    <n v="0.3125"/>
    <n v="1093.75"/>
    <n v="0.66477279234749131"/>
  </r>
  <r>
    <x v="5"/>
    <d v="2024-11-01T00:00:00"/>
    <x v="0"/>
    <x v="10"/>
    <n v="52"/>
    <n v="6"/>
    <n v="492.23"/>
    <n v="2"/>
    <n v="0.33333333333333331"/>
    <n v="3775.84"/>
    <n v="0.76511783801931943"/>
  </r>
  <r>
    <x v="6"/>
    <d v="2024-11-01T00:00:00"/>
    <x v="0"/>
    <x v="10"/>
    <n v="74"/>
    <n v="17"/>
    <n v="284.91000000000003"/>
    <n v="3"/>
    <n v="0.17647058823529413"/>
    <n v="2481.64"/>
    <n v="0.64727889695138419"/>
  </r>
  <r>
    <x v="7"/>
    <d v="2024-11-01T00:00:00"/>
    <x v="0"/>
    <x v="10"/>
    <n v="30"/>
    <n v="21"/>
    <n v="372.34"/>
    <n v="7"/>
    <n v="0.33333333333333331"/>
    <n v="1172.04"/>
    <n v="0.31082104214299389"/>
  </r>
  <r>
    <x v="8"/>
    <d v="2024-11-01T00:00:00"/>
    <x v="0"/>
    <x v="10"/>
    <n v="74"/>
    <n v="13"/>
    <n v="324.77999999999997"/>
    <n v="7"/>
    <n v="0.53846153846153844"/>
    <n v="995.6"/>
    <n v="0.55537797243119924"/>
  </r>
  <r>
    <x v="9"/>
    <d v="2024-11-01T00:00:00"/>
    <x v="0"/>
    <x v="10"/>
    <n v="59"/>
    <n v="21"/>
    <n v="633.37"/>
    <n v="2"/>
    <n v="9.5238095238095233E-2"/>
    <n v="358.29"/>
    <n v="0.53531141176414865"/>
  </r>
  <r>
    <x v="10"/>
    <d v="2024-11-01T00:00:00"/>
    <x v="0"/>
    <x v="10"/>
    <n v="30"/>
    <n v="6"/>
    <n v="209.84"/>
    <n v="1"/>
    <n v="0.16666666666666666"/>
    <n v="3534.1"/>
    <n v="0.55834812494215169"/>
  </r>
  <r>
    <x v="11"/>
    <d v="2024-11-01T00:00:00"/>
    <x v="0"/>
    <x v="10"/>
    <n v="100"/>
    <n v="6"/>
    <n v="153.34"/>
    <n v="3"/>
    <n v="0.5"/>
    <n v="1248.54"/>
    <n v="0.96302221386306475"/>
  </r>
  <r>
    <x v="12"/>
    <d v="2024-11-01T00:00:00"/>
    <x v="0"/>
    <x v="10"/>
    <n v="81"/>
    <n v="7"/>
    <n v="79.62"/>
    <n v="7"/>
    <n v="1"/>
    <n v="3892.76"/>
    <n v="0.98267045138361975"/>
  </r>
  <r>
    <x v="13"/>
    <d v="2024-11-01T00:00:00"/>
    <x v="0"/>
    <x v="10"/>
    <n v="96"/>
    <n v="16"/>
    <n v="161.69"/>
    <n v="5"/>
    <n v="0.3125"/>
    <n v="392.05"/>
    <n v="0.10702450582079781"/>
  </r>
  <r>
    <x v="14"/>
    <d v="2024-11-01T00:00:00"/>
    <x v="0"/>
    <x v="10"/>
    <n v="72"/>
    <n v="12"/>
    <n v="474.28"/>
    <n v="1"/>
    <n v="8.3333333333333329E-2"/>
    <n v="1097.5999999999999"/>
    <n v="0.54166707195523389"/>
  </r>
  <r>
    <x v="15"/>
    <d v="2024-11-01T00:00:00"/>
    <x v="0"/>
    <x v="10"/>
    <n v="18"/>
    <n v="15"/>
    <n v="268.94"/>
    <n v="1"/>
    <n v="6.6666666666666666E-2"/>
    <n v="1469.71"/>
    <n v="0.57855065139862261"/>
  </r>
  <r>
    <x v="16"/>
    <d v="2024-11-01T00:00:00"/>
    <x v="0"/>
    <x v="10"/>
    <n v="73"/>
    <n v="8"/>
    <n v="182.48"/>
    <n v="8"/>
    <n v="1"/>
    <n v="548.46"/>
    <n v="0.96204103060529833"/>
  </r>
  <r>
    <x v="17"/>
    <d v="2024-11-01T00:00:00"/>
    <x v="0"/>
    <x v="10"/>
    <n v="97"/>
    <n v="14"/>
    <n v="368.16"/>
    <n v="0"/>
    <n v="0"/>
    <n v="3020.19"/>
    <n v="0.59274079529609314"/>
  </r>
  <r>
    <x v="18"/>
    <d v="2024-11-01T00:00:00"/>
    <x v="0"/>
    <x v="10"/>
    <n v="28"/>
    <n v="12"/>
    <n v="565.51"/>
    <n v="4"/>
    <n v="0.33333333333333331"/>
    <n v="231.16"/>
    <n v="3.9371793800327515E-2"/>
  </r>
  <r>
    <x v="19"/>
    <d v="2024-11-01T00:00:00"/>
    <x v="0"/>
    <x v="10"/>
    <n v="41"/>
    <n v="13"/>
    <n v="370.44"/>
    <n v="9"/>
    <n v="0.69230769230769229"/>
    <n v="4484.96"/>
    <n v="0.87760057695432692"/>
  </r>
  <r>
    <x v="0"/>
    <d v="2024-12-01T00:00:00"/>
    <x v="0"/>
    <x v="11"/>
    <n v="61"/>
    <n v="13"/>
    <n v="356.61"/>
    <n v="7"/>
    <n v="0.53846153846153844"/>
    <n v="4099.6400000000003"/>
    <n v="0.31090910107427061"/>
  </r>
  <r>
    <x v="1"/>
    <d v="2024-12-01T00:00:00"/>
    <x v="0"/>
    <x v="11"/>
    <n v="80"/>
    <n v="13"/>
    <n v="369.46"/>
    <n v="4"/>
    <n v="0.30769230769230771"/>
    <n v="3996.04"/>
    <n v="0.10471388209283561"/>
  </r>
  <r>
    <x v="2"/>
    <d v="2024-12-01T00:00:00"/>
    <x v="0"/>
    <x v="11"/>
    <n v="51"/>
    <n v="14"/>
    <n v="419.93"/>
    <n v="2"/>
    <n v="0.14285714285714285"/>
    <n v="3543.6"/>
    <n v="2.3966922868908225E-2"/>
  </r>
  <r>
    <x v="3"/>
    <d v="2024-12-01T00:00:00"/>
    <x v="0"/>
    <x v="11"/>
    <n v="20"/>
    <n v="5"/>
    <n v="71.41"/>
    <n v="3"/>
    <n v="0.6"/>
    <n v="1527.27"/>
    <n v="0.84933452739809101"/>
  </r>
  <r>
    <x v="4"/>
    <d v="2024-12-01T00:00:00"/>
    <x v="0"/>
    <x v="11"/>
    <n v="101"/>
    <n v="14"/>
    <n v="503.93"/>
    <n v="5"/>
    <n v="0.35714285714285715"/>
    <n v="1116.6099999999999"/>
    <n v="5.2099883075777065E-2"/>
  </r>
  <r>
    <x v="5"/>
    <d v="2024-12-01T00:00:00"/>
    <x v="0"/>
    <x v="11"/>
    <n v="70"/>
    <n v="6"/>
    <n v="488.97"/>
    <n v="3"/>
    <n v="0.5"/>
    <n v="3767.09"/>
    <n v="0.11278348968086582"/>
  </r>
  <r>
    <x v="6"/>
    <d v="2024-12-01T00:00:00"/>
    <x v="0"/>
    <x v="11"/>
    <n v="84"/>
    <n v="19"/>
    <n v="301.2"/>
    <n v="2"/>
    <n v="0.10526315789473684"/>
    <n v="2608.4699999999998"/>
    <n v="0.87330168682080711"/>
  </r>
  <r>
    <x v="7"/>
    <d v="2024-12-01T00:00:00"/>
    <x v="0"/>
    <x v="11"/>
    <n v="28"/>
    <n v="19"/>
    <n v="352.06"/>
    <n v="9"/>
    <n v="0.47368421052631576"/>
    <n v="1107.51"/>
    <n v="0.57736436365955957"/>
  </r>
  <r>
    <x v="8"/>
    <d v="2024-12-01T00:00:00"/>
    <x v="0"/>
    <x v="11"/>
    <n v="69"/>
    <n v="16"/>
    <n v="337.7"/>
    <n v="9"/>
    <n v="0.5625"/>
    <n v="947.47"/>
    <n v="1.484562466895456E-2"/>
  </r>
  <r>
    <x v="9"/>
    <d v="2024-12-01T00:00:00"/>
    <x v="0"/>
    <x v="11"/>
    <n v="77"/>
    <n v="16"/>
    <n v="539.26"/>
    <n v="3"/>
    <n v="0.1875"/>
    <n v="379.83"/>
    <n v="0.73798795770368697"/>
  </r>
  <r>
    <x v="10"/>
    <d v="2024-12-01T00:00:00"/>
    <x v="0"/>
    <x v="11"/>
    <n v="31"/>
    <n v="6"/>
    <n v="191.66"/>
    <n v="2"/>
    <n v="0.33333333333333331"/>
    <n v="3753.06"/>
    <n v="0.1650377642900791"/>
  </r>
  <r>
    <x v="11"/>
    <d v="2024-12-01T00:00:00"/>
    <x v="0"/>
    <x v="11"/>
    <n v="88"/>
    <n v="5"/>
    <n v="168.89"/>
    <n v="3"/>
    <n v="0.6"/>
    <n v="1153.93"/>
    <n v="1.1021788417171607E-2"/>
  </r>
  <r>
    <x v="12"/>
    <d v="2024-12-01T00:00:00"/>
    <x v="0"/>
    <x v="11"/>
    <n v="74"/>
    <n v="6"/>
    <n v="87.83"/>
    <n v="6"/>
    <n v="1"/>
    <n v="3741.27"/>
    <n v="0.74201939773879189"/>
  </r>
  <r>
    <x v="13"/>
    <d v="2024-12-01T00:00:00"/>
    <x v="0"/>
    <x v="11"/>
    <n v="99"/>
    <n v="15"/>
    <n v="181.12"/>
    <n v="5"/>
    <n v="0.33333333333333331"/>
    <n v="454.09"/>
    <n v="0.98789042056872323"/>
  </r>
  <r>
    <x v="14"/>
    <d v="2024-12-01T00:00:00"/>
    <x v="0"/>
    <x v="11"/>
    <n v="74"/>
    <n v="14"/>
    <n v="508.85"/>
    <n v="1"/>
    <n v="7.1428571428571425E-2"/>
    <n v="1182.6300000000001"/>
    <n v="7.0628406852508818E-2"/>
  </r>
  <r>
    <x v="15"/>
    <d v="2024-12-01T00:00:00"/>
    <x v="0"/>
    <x v="11"/>
    <n v="21"/>
    <n v="17"/>
    <n v="297.83999999999997"/>
    <n v="1"/>
    <n v="5.8823529411764705E-2"/>
    <n v="1553.7"/>
    <n v="0.80749125507937436"/>
  </r>
  <r>
    <x v="16"/>
    <d v="2024-12-01T00:00:00"/>
    <x v="0"/>
    <x v="11"/>
    <n v="83"/>
    <n v="9"/>
    <n v="188.49"/>
    <n v="7"/>
    <n v="0.77777777777777779"/>
    <n v="545.09"/>
    <n v="0.53113705463547711"/>
  </r>
  <r>
    <x v="17"/>
    <d v="2024-12-01T00:00:00"/>
    <x v="0"/>
    <x v="11"/>
    <n v="84"/>
    <n v="14"/>
    <n v="370.36"/>
    <n v="0"/>
    <n v="0"/>
    <n v="2605.02"/>
    <n v="2.387633344994422E-2"/>
  </r>
  <r>
    <x v="18"/>
    <d v="2024-12-01T00:00:00"/>
    <x v="0"/>
    <x v="11"/>
    <n v="32"/>
    <n v="10"/>
    <n v="500.83"/>
    <n v="4"/>
    <n v="0.4"/>
    <n v="239.13"/>
    <n v="0.35065663980268691"/>
  </r>
  <r>
    <x v="19"/>
    <d v="2024-12-01T00:00:00"/>
    <x v="0"/>
    <x v="11"/>
    <n v="39"/>
    <n v="15"/>
    <n v="319.08999999999997"/>
    <n v="7"/>
    <n v="0.46666666666666667"/>
    <n v="4573.5"/>
    <n v="0.201711775338670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72ECC-25F3-4963-9B40-D6BCA0EAF5B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S5:T17" firstHeaderRow="1" firstDataRow="1" firstDataCol="1"/>
  <pivotFields count="11">
    <pivotField showAll="0">
      <items count="21">
        <item x="11"/>
        <item x="1"/>
        <item x="5"/>
        <item x="8"/>
        <item x="17"/>
        <item x="18"/>
        <item x="2"/>
        <item x="0"/>
        <item x="15"/>
        <item x="10"/>
        <item x="3"/>
        <item x="16"/>
        <item x="12"/>
        <item x="4"/>
        <item x="19"/>
        <item x="7"/>
        <item x="9"/>
        <item x="6"/>
        <item x="14"/>
        <item x="13"/>
        <item t="default"/>
      </items>
    </pivotField>
    <pivotField numFmtId="14"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numFmtId="2" showAll="0"/>
    <pivotField numFmtId="2" showAll="0"/>
    <pivotField dataField="1" numFmtId="2" showAll="0"/>
  </pivotFields>
  <rowFields count="1">
    <field x="3"/>
  </rowFields>
  <rowItems count="12">
    <i>
      <x/>
    </i>
    <i>
      <x v="1"/>
    </i>
    <i>
      <x v="2"/>
    </i>
    <i>
      <x v="3"/>
    </i>
    <i>
      <x v="4"/>
    </i>
    <i>
      <x v="5"/>
    </i>
    <i>
      <x v="6"/>
    </i>
    <i>
      <x v="7"/>
    </i>
    <i>
      <x v="8"/>
    </i>
    <i>
      <x v="9"/>
    </i>
    <i>
      <x v="10"/>
    </i>
    <i>
      <x v="11"/>
    </i>
  </rowItems>
  <colItems count="1">
    <i/>
  </colItems>
  <dataFields count="1">
    <dataField name="Average of Call Drop Rate (%)" fld="10" subtotal="average" baseField="3" baseItem="0" numFmtId="1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85FD5E-2BF9-4CC4-9B42-B07BE37799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11">
    <pivotField showAll="0">
      <items count="21">
        <item x="11"/>
        <item x="1"/>
        <item x="5"/>
        <item x="8"/>
        <item x="17"/>
        <item x="18"/>
        <item x="2"/>
        <item x="0"/>
        <item x="15"/>
        <item x="10"/>
        <item x="3"/>
        <item x="16"/>
        <item x="12"/>
        <item x="4"/>
        <item x="19"/>
        <item x="7"/>
        <item x="9"/>
        <item x="6"/>
        <item x="14"/>
        <item x="13"/>
        <item t="default"/>
      </items>
    </pivotField>
    <pivotField numFmtId="14" showAll="0"/>
    <pivotField showAll="0"/>
    <pivotField showAll="0">
      <items count="13">
        <item x="0"/>
        <item x="1"/>
        <item x="2"/>
        <item x="3"/>
        <item x="4"/>
        <item x="5"/>
        <item x="6"/>
        <item x="7"/>
        <item x="8"/>
        <item x="9"/>
        <item x="10"/>
        <item x="11"/>
        <item t="default"/>
      </items>
    </pivotField>
    <pivotField showAll="0"/>
    <pivotField showAll="0"/>
    <pivotField showAll="0"/>
    <pivotField dataField="1" showAll="0"/>
    <pivotField numFmtId="2" showAll="0"/>
    <pivotField numFmtId="2" showAll="0"/>
    <pivotField numFmtId="2" showAll="0"/>
  </pivotFields>
  <rowItems count="1">
    <i/>
  </rowItems>
  <colItems count="1">
    <i/>
  </colItems>
  <dataFields count="1">
    <dataField name="Sum of Deals Clos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99F010-28EE-4ED2-8D2F-69CE65A41AE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L5:N17" firstHeaderRow="0" firstDataRow="1" firstDataCol="1"/>
  <pivotFields count="11">
    <pivotField showAll="0">
      <items count="21">
        <item x="11"/>
        <item x="1"/>
        <item x="5"/>
        <item x="8"/>
        <item x="17"/>
        <item x="18"/>
        <item x="2"/>
        <item x="0"/>
        <item x="15"/>
        <item x="10"/>
        <item x="3"/>
        <item x="16"/>
        <item x="12"/>
        <item x="4"/>
        <item x="19"/>
        <item x="7"/>
        <item x="9"/>
        <item x="6"/>
        <item x="14"/>
        <item x="13"/>
        <item t="default"/>
      </items>
    </pivotField>
    <pivotField numFmtId="14" showAll="0"/>
    <pivotField showAll="0"/>
    <pivotField axis="axisRow" showAll="0">
      <items count="13">
        <item x="0"/>
        <item x="1"/>
        <item x="2"/>
        <item x="3"/>
        <item x="4"/>
        <item x="5"/>
        <item x="6"/>
        <item x="7"/>
        <item x="8"/>
        <item x="9"/>
        <item x="10"/>
        <item x="11"/>
        <item t="default"/>
      </items>
    </pivotField>
    <pivotField showAll="0"/>
    <pivotField dataField="1" showAll="0"/>
    <pivotField showAll="0"/>
    <pivotField dataField="1" showAll="0"/>
    <pivotField numFmtId="2" showAll="0"/>
    <pivotField numFmtId="2" showAll="0"/>
    <pivotField numFmtId="2" showAll="0"/>
  </pivotFields>
  <rowFields count="1">
    <field x="3"/>
  </rowFields>
  <rowItems count="12">
    <i>
      <x/>
    </i>
    <i>
      <x v="1"/>
    </i>
    <i>
      <x v="2"/>
    </i>
    <i>
      <x v="3"/>
    </i>
    <i>
      <x v="4"/>
    </i>
    <i>
      <x v="5"/>
    </i>
    <i>
      <x v="6"/>
    </i>
    <i>
      <x v="7"/>
    </i>
    <i>
      <x v="8"/>
    </i>
    <i>
      <x v="9"/>
    </i>
    <i>
      <x v="10"/>
    </i>
    <i>
      <x v="11"/>
    </i>
  </rowItems>
  <colFields count="1">
    <field x="-2"/>
  </colFields>
  <colItems count="2">
    <i>
      <x/>
    </i>
    <i i="1">
      <x v="1"/>
    </i>
  </colItems>
  <dataFields count="2">
    <dataField name="Sum of Calls Reached" fld="5" baseField="0" baseItem="0"/>
    <dataField name="Sum of Deals Closed" fld="7"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42AF08-65F7-47A5-A573-AB41EA00B3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1">
    <pivotField showAll="0">
      <items count="21">
        <item x="11"/>
        <item x="1"/>
        <item x="5"/>
        <item x="8"/>
        <item x="17"/>
        <item x="18"/>
        <item x="2"/>
        <item x="0"/>
        <item x="15"/>
        <item x="10"/>
        <item x="3"/>
        <item x="16"/>
        <item x="12"/>
        <item x="4"/>
        <item x="19"/>
        <item x="7"/>
        <item x="9"/>
        <item x="6"/>
        <item x="14"/>
        <item x="13"/>
        <item t="default"/>
      </items>
    </pivotField>
    <pivotField numFmtId="14" showAll="0"/>
    <pivotField showAll="0"/>
    <pivotField showAll="0">
      <items count="13">
        <item x="0"/>
        <item x="1"/>
        <item x="2"/>
        <item x="3"/>
        <item x="4"/>
        <item x="5"/>
        <item x="6"/>
        <item x="7"/>
        <item x="8"/>
        <item x="9"/>
        <item x="10"/>
        <item x="11"/>
        <item t="default"/>
      </items>
    </pivotField>
    <pivotField showAll="0"/>
    <pivotField dataField="1" showAll="0"/>
    <pivotField showAll="0"/>
    <pivotField showAll="0"/>
    <pivotField numFmtId="2" showAll="0"/>
    <pivotField numFmtId="2" showAll="0"/>
    <pivotField numFmtId="2" showAll="0"/>
  </pivotFields>
  <rowItems count="1">
    <i/>
  </rowItems>
  <colItems count="1">
    <i/>
  </colItems>
  <dataFields count="1">
    <dataField name="Sum of Calls Reache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0DD43D-5E39-4F23-9418-7DA5401E779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5:Q17" firstHeaderRow="1" firstDataRow="1" firstDataCol="1"/>
  <pivotFields count="11">
    <pivotField showAll="0">
      <items count="21">
        <item x="11"/>
        <item x="1"/>
        <item x="5"/>
        <item x="8"/>
        <item x="17"/>
        <item x="18"/>
        <item x="2"/>
        <item x="0"/>
        <item x="15"/>
        <item x="10"/>
        <item x="3"/>
        <item x="16"/>
        <item x="12"/>
        <item x="4"/>
        <item x="19"/>
        <item x="7"/>
        <item x="9"/>
        <item x="6"/>
        <item x="14"/>
        <item x="13"/>
        <item t="default"/>
      </items>
    </pivotField>
    <pivotField numFmtId="14" showAll="0"/>
    <pivotField showAll="0"/>
    <pivotField axis="axisRow" showAll="0">
      <items count="13">
        <item x="0"/>
        <item x="1"/>
        <item x="2"/>
        <item x="3"/>
        <item x="4"/>
        <item x="5"/>
        <item x="6"/>
        <item x="7"/>
        <item x="8"/>
        <item x="9"/>
        <item x="10"/>
        <item x="11"/>
        <item t="default"/>
      </items>
    </pivotField>
    <pivotField showAll="0"/>
    <pivotField showAll="0"/>
    <pivotField dataField="1" showAll="0"/>
    <pivotField showAll="0"/>
    <pivotField numFmtId="2" showAll="0"/>
    <pivotField numFmtId="2"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Average of Average Duration (sec)" fld="6" subtotal="average" baseField="3"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BA349E-C040-4A10-8693-61BE4F25589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I5:J17" firstHeaderRow="1" firstDataRow="1" firstDataCol="1"/>
  <pivotFields count="11">
    <pivotField showAll="0">
      <items count="21">
        <item x="11"/>
        <item x="1"/>
        <item x="5"/>
        <item x="8"/>
        <item x="17"/>
        <item x="18"/>
        <item x="2"/>
        <item x="0"/>
        <item x="15"/>
        <item x="10"/>
        <item x="3"/>
        <item x="16"/>
        <item x="12"/>
        <item x="4"/>
        <item x="19"/>
        <item x="7"/>
        <item x="9"/>
        <item x="6"/>
        <item x="14"/>
        <item x="13"/>
        <item t="default"/>
      </items>
    </pivotField>
    <pivotField numFmtId="14" showAll="0"/>
    <pivotField showAll="0">
      <items count="2">
        <item x="0"/>
        <item t="default"/>
      </items>
    </pivotField>
    <pivotField axis="axisRow" showAll="0">
      <items count="13">
        <item x="0"/>
        <item x="1"/>
        <item x="2"/>
        <item x="3"/>
        <item x="4"/>
        <item x="5"/>
        <item x="6"/>
        <item x="7"/>
        <item x="8"/>
        <item x="9"/>
        <item x="10"/>
        <item x="11"/>
        <item t="default"/>
      </items>
    </pivotField>
    <pivotField showAll="0"/>
    <pivotField showAll="0"/>
    <pivotField showAll="0"/>
    <pivotField showAll="0"/>
    <pivotField numFmtId="2" showAll="0"/>
    <pivotField dataField="1" numFmtId="2"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Deal Value ($)" fld="9" baseField="0" baseItem="0" numFmtId="165"/>
  </dataFields>
  <formats count="1">
    <format dxfId="7">
      <pivotArea outline="0" collapsedLevelsAreSubtotals="1" fieldPosition="0"/>
    </format>
  </formats>
  <chartFormats count="10">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3"/>
          </reference>
        </references>
      </pivotArea>
    </chartFormat>
    <chartFormat chart="7" format="3">
      <pivotArea type="data" outline="0" fieldPosition="0">
        <references count="2">
          <reference field="4294967294" count="1" selected="0">
            <x v="0"/>
          </reference>
          <reference field="3" count="1" selected="0">
            <x v="5"/>
          </reference>
        </references>
      </pivotArea>
    </chartFormat>
    <chartFormat chart="7" format="4">
      <pivotArea type="data" outline="0" fieldPosition="0">
        <references count="2">
          <reference field="4294967294" count="1" selected="0">
            <x v="0"/>
          </reference>
          <reference field="3" count="1" selected="0">
            <x v="6"/>
          </reference>
        </references>
      </pivotArea>
    </chartFormat>
    <chartFormat chart="7" format="5">
      <pivotArea type="data" outline="0" fieldPosition="0">
        <references count="2">
          <reference field="4294967294" count="1" selected="0">
            <x v="0"/>
          </reference>
          <reference field="3" count="1" selected="0">
            <x v="7"/>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 chart="7" format="7">
      <pivotArea type="data" outline="0" fieldPosition="0">
        <references count="2">
          <reference field="4294967294" count="1" selected="0">
            <x v="0"/>
          </reference>
          <reference field="3" count="1" selected="0">
            <x v="8"/>
          </reference>
        </references>
      </pivotArea>
    </chartFormat>
    <chartFormat chart="7" format="8">
      <pivotArea type="data" outline="0" fieldPosition="0">
        <references count="2">
          <reference field="4294967294" count="1" selected="0">
            <x v="0"/>
          </reference>
          <reference field="3" count="1" selected="0">
            <x v="9"/>
          </reference>
        </references>
      </pivotArea>
    </chartFormat>
    <chartFormat chart="7" format="9">
      <pivotArea type="data" outline="0" fieldPosition="0">
        <references count="2">
          <reference field="4294967294" count="1" selected="0">
            <x v="0"/>
          </reference>
          <reference field="3" count="1" selected="0">
            <x v="11"/>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DDE449-C1FF-48FA-AADD-53096759DB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showAll="0">
      <items count="21">
        <item x="11"/>
        <item x="1"/>
        <item x="5"/>
        <item x="8"/>
        <item x="17"/>
        <item x="18"/>
        <item x="2"/>
        <item x="0"/>
        <item x="15"/>
        <item x="10"/>
        <item x="3"/>
        <item x="16"/>
        <item x="12"/>
        <item x="4"/>
        <item x="19"/>
        <item x="7"/>
        <item x="9"/>
        <item x="6"/>
        <item x="14"/>
        <item x="13"/>
        <item t="default"/>
      </items>
    </pivotField>
    <pivotField numFmtId="14" showAll="0"/>
    <pivotField showAll="0"/>
    <pivotField showAll="0">
      <items count="13">
        <item x="0"/>
        <item x="1"/>
        <item x="2"/>
        <item x="3"/>
        <item x="4"/>
        <item x="5"/>
        <item x="6"/>
        <item x="7"/>
        <item x="8"/>
        <item x="9"/>
        <item x="10"/>
        <item x="11"/>
        <item t="default"/>
      </items>
    </pivotField>
    <pivotField dataField="1" showAll="0"/>
    <pivotField showAll="0"/>
    <pivotField showAll="0"/>
    <pivotField showAll="0"/>
    <pivotField numFmtId="2" showAll="0"/>
    <pivotField numFmtId="2" showAll="0"/>
    <pivotField numFmtId="2" showAll="0"/>
  </pivotFields>
  <rowItems count="1">
    <i/>
  </rowItems>
  <colItems count="1">
    <i/>
  </colItems>
  <dataFields count="1">
    <dataField name="Sum of Total Call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C5FF69-230F-44EF-8177-7E0ACE3762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G6" firstHeaderRow="1" firstDataRow="1" firstDataCol="0"/>
  <pivotFields count="11">
    <pivotField showAll="0">
      <items count="21">
        <item x="11"/>
        <item x="1"/>
        <item x="5"/>
        <item x="8"/>
        <item x="17"/>
        <item x="18"/>
        <item x="2"/>
        <item x="0"/>
        <item x="15"/>
        <item x="10"/>
        <item x="3"/>
        <item x="16"/>
        <item x="12"/>
        <item x="4"/>
        <item x="19"/>
        <item x="7"/>
        <item x="9"/>
        <item x="6"/>
        <item x="14"/>
        <item x="13"/>
        <item t="default"/>
      </items>
    </pivotField>
    <pivotField numFmtId="14"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numFmtId="2" showAll="0"/>
    <pivotField dataField="1" numFmtId="2" showAll="0"/>
    <pivotField numFmtId="2" showAll="0"/>
  </pivotFields>
  <rowItems count="1">
    <i/>
  </rowItems>
  <colItems count="1">
    <i/>
  </colItems>
  <dataFields count="1">
    <dataField name="Sum of Deal Value ($)" fld="9" baseField="0" baseItem="0" numFmtId="166"/>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BAAEEE-88D8-49A7-B69C-1F42C20DE99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O11:R31" firstHeaderRow="0" firstDataRow="1" firstDataCol="1"/>
  <pivotFields count="11">
    <pivotField axis="axisRow" showAll="0">
      <items count="21">
        <item x="11"/>
        <item x="1"/>
        <item x="5"/>
        <item x="8"/>
        <item x="17"/>
        <item x="18"/>
        <item x="2"/>
        <item x="0"/>
        <item x="15"/>
        <item x="10"/>
        <item x="3"/>
        <item x="16"/>
        <item x="12"/>
        <item x="4"/>
        <item x="19"/>
        <item x="7"/>
        <item x="9"/>
        <item x="6"/>
        <item x="14"/>
        <item x="13"/>
        <item t="default"/>
      </items>
    </pivotField>
    <pivotField numFmtId="14" showAll="0"/>
    <pivotField showAll="0"/>
    <pivotField showAll="0">
      <items count="13">
        <item x="0"/>
        <item x="1"/>
        <item x="2"/>
        <item x="3"/>
        <item x="4"/>
        <item x="5"/>
        <item x="6"/>
        <item x="7"/>
        <item x="8"/>
        <item x="9"/>
        <item x="10"/>
        <item x="11"/>
        <item t="default"/>
      </items>
    </pivotField>
    <pivotField showAll="0"/>
    <pivotField dataField="1" showAll="0"/>
    <pivotField showAll="0"/>
    <pivotField dataField="1" showAll="0"/>
    <pivotField numFmtId="2" showAll="0"/>
    <pivotField dataField="1" numFmtId="2" showAll="0"/>
    <pivotField numFmtId="2" showAll="0"/>
  </pivotFields>
  <rowFields count="1">
    <field x="0"/>
  </rowFields>
  <rowItems count="20">
    <i>
      <x/>
    </i>
    <i>
      <x v="1"/>
    </i>
    <i>
      <x v="2"/>
    </i>
    <i>
      <x v="3"/>
    </i>
    <i>
      <x v="4"/>
    </i>
    <i>
      <x v="5"/>
    </i>
    <i>
      <x v="6"/>
    </i>
    <i>
      <x v="7"/>
    </i>
    <i>
      <x v="8"/>
    </i>
    <i>
      <x v="9"/>
    </i>
    <i>
      <x v="10"/>
    </i>
    <i>
      <x v="11"/>
    </i>
    <i>
      <x v="12"/>
    </i>
    <i>
      <x v="13"/>
    </i>
    <i>
      <x v="14"/>
    </i>
    <i>
      <x v="15"/>
    </i>
    <i>
      <x v="16"/>
    </i>
    <i>
      <x v="17"/>
    </i>
    <i>
      <x v="18"/>
    </i>
    <i>
      <x v="19"/>
    </i>
  </rowItems>
  <colFields count="1">
    <field x="-2"/>
  </colFields>
  <colItems count="3">
    <i>
      <x/>
    </i>
    <i i="1">
      <x v="1"/>
    </i>
    <i i="2">
      <x v="2"/>
    </i>
  </colItems>
  <dataFields count="3">
    <dataField name="Sum of Calls Reached" fld="5" baseField="0" baseItem="0" numFmtId="1"/>
    <dataField name="Sum of Deals Closed" fld="7" baseField="0" baseItem="0" numFmtId="1"/>
    <dataField name="Sum of Deal Value ($)" fld="9" baseField="0" baseItem="0" numFmtId="165"/>
  </dataFields>
  <formats count="5">
    <format dxfId="4">
      <pivotArea outline="0" collapsedLevelsAreSubtotals="1" fieldPosition="0"/>
    </format>
    <format dxfId="3">
      <pivotArea outline="0" collapsedLevelsAreSubtotals="1" fieldPosition="0">
        <references count="1">
          <reference field="4294967294" count="2" selected="0">
            <x v="0"/>
            <x v="1"/>
          </reference>
        </references>
      </pivotArea>
    </format>
    <format dxfId="2">
      <pivotArea field="0" type="button" dataOnly="0" labelOnly="1" outline="0" axis="axisRow" fieldPosition="0"/>
    </format>
    <format dxfId="1">
      <pivotArea dataOnly="0" labelOnly="1" outline="0" fieldPosition="0">
        <references count="1">
          <reference field="4294967294" count="3">
            <x v="0"/>
            <x v="1"/>
            <x v="2"/>
          </reference>
        </references>
      </pivotArea>
    </format>
    <format dxfId="0">
      <pivotArea outline="0" collapsedLevelsAreSubtotals="1" fieldPosition="0"/>
    </format>
  </formats>
  <conditionalFormats count="3">
    <conditionalFormat priority="1">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1">
    <chartFormat chart="7"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8AD2D5CC-FE47-4192-99C4-08B22F3052C1}" sourceName="Name">
  <pivotTables>
    <pivotTable tabId="2" name="PivotTable7"/>
    <pivotTable tabId="2" name="PivotTable1"/>
    <pivotTable tabId="2" name="PivotTable10"/>
    <pivotTable tabId="2" name="PivotTable12"/>
    <pivotTable tabId="2" name="PivotTable2"/>
    <pivotTable tabId="2" name="PivotTable4"/>
    <pivotTable tabId="2" name="PivotTable6"/>
    <pivotTable tabId="2" name="PivotTable8"/>
    <pivotTable tabId="3" name="PivotTable8"/>
  </pivotTables>
  <data>
    <tabular pivotCacheId="552358339">
      <items count="20">
        <i x="11" s="1"/>
        <i x="1" s="1"/>
        <i x="5" s="1"/>
        <i x="8" s="1"/>
        <i x="17" s="1"/>
        <i x="18" s="1"/>
        <i x="2" s="1"/>
        <i x="0" s="1"/>
        <i x="15" s="1"/>
        <i x="10" s="1"/>
        <i x="3" s="1"/>
        <i x="16" s="1"/>
        <i x="12" s="1"/>
        <i x="4" s="1"/>
        <i x="19" s="1"/>
        <i x="7" s="1"/>
        <i x="9" s="1"/>
        <i x="6" s="1"/>
        <i x="14"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011063A-5BFB-48DC-8A60-6CF29BF6E57E}" sourceName="Month">
  <pivotTables>
    <pivotTable tabId="2" name="PivotTable7"/>
    <pivotTable tabId="3" name="PivotTable8"/>
    <pivotTable tabId="2" name="PivotTable1"/>
    <pivotTable tabId="2" name="PivotTable10"/>
    <pivotTable tabId="2" name="PivotTable12"/>
    <pivotTable tabId="2" name="PivotTable2"/>
    <pivotTable tabId="2" name="PivotTable4"/>
    <pivotTable tabId="2" name="PivotTable6"/>
    <pivotTable tabId="2" name="PivotTable8"/>
  </pivotTables>
  <data>
    <tabular pivotCacheId="55235833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6F2FDBE-D1CE-408F-A5C2-249B33AFC08D}" cache="Slicer_Name" caption="Name" style="SlicerStyleDark1" rowHeight="257175"/>
  <slicer name="Month" xr10:uid="{2F839055-A034-4BBA-BABD-782C4CF50CEC}" cache="Slicer_Month" caption="Month" startItem="4" columnCount="4"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8629F0-6D64-4CFC-AE0C-25058564A9A6}" name="SalesData" displayName="SalesData" ref="A1:K241" totalsRowShown="0">
  <autoFilter ref="A1:K241" xr:uid="{098629F0-6D64-4CFC-AE0C-25058564A9A6}"/>
  <tableColumns count="11">
    <tableColumn id="1" xr3:uid="{F1B93933-DE2C-4BD5-B539-5A4BAE6FA3F5}" name="Name"/>
    <tableColumn id="2" xr3:uid="{33E88857-2D7F-4245-B4E9-D155C31DC80E}" name="Date" dataDxfId="14"/>
    <tableColumn id="10" xr3:uid="{CD62610A-CEF6-4C68-A8E4-0981C6768F4E}" name="Year" dataDxfId="13">
      <calculatedColumnFormula>YEAR(SalesData[[#This Row],[Date]])</calculatedColumnFormula>
    </tableColumn>
    <tableColumn id="11" xr3:uid="{35F0D925-0BE3-435A-92DB-4A44AEA13441}" name="Month" dataDxfId="12">
      <calculatedColumnFormula>TEXT(SalesData[[#This Row],[Date]],"mmm")</calculatedColumnFormula>
    </tableColumn>
    <tableColumn id="3" xr3:uid="{283872B4-53AA-478E-BE9A-2555C129ED89}" name="Total Calls"/>
    <tableColumn id="4" xr3:uid="{D1D3B1B7-3A2F-4C2C-B251-F0059A1D7C57}" name="Calls Reached"/>
    <tableColumn id="5" xr3:uid="{2746BE80-DA85-43C0-8F80-91CCE87CCDDB}" name="Average Duration (sec)"/>
    <tableColumn id="6" xr3:uid="{9E5DB1AF-B306-476D-86E1-54CB557E62C4}" name="Deals Closed"/>
    <tableColumn id="7" xr3:uid="{9795AD6B-7F96-41D6-8E59-B6B7ED6BBD3A}" name="Call Conversion Rate (%)" dataDxfId="11"/>
    <tableColumn id="8" xr3:uid="{3DC4CAEA-0D17-420A-8661-52DC5E4B8ADD}" name="Deal Value ($)" dataDxfId="10"/>
    <tableColumn id="9" xr3:uid="{3F2BE480-B6B7-4CF5-B27A-FF45E538EC2E}" name="Call Drop Rate (%)" dataDxfId="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2E0D5-73F1-4F4C-8E60-489FD5BCE348}">
  <dimension ref="A1:K241"/>
  <sheetViews>
    <sheetView workbookViewId="0">
      <selection activeCell="L8" sqref="L8"/>
    </sheetView>
  </sheetViews>
  <sheetFormatPr defaultRowHeight="15" x14ac:dyDescent="0.25"/>
  <cols>
    <col min="1" max="1" width="8.5703125" bestFit="1" customWidth="1"/>
    <col min="2" max="2" width="9.42578125" style="1" bestFit="1" customWidth="1"/>
    <col min="3" max="3" width="9.42578125" style="4" customWidth="1"/>
    <col min="4" max="4" width="12.5703125" bestFit="1" customWidth="1"/>
    <col min="5" max="5" width="15.85546875" bestFit="1" customWidth="1"/>
    <col min="6" max="6" width="23.42578125" bestFit="1" customWidth="1"/>
    <col min="7" max="7" width="14.7109375" bestFit="1" customWidth="1"/>
    <col min="8" max="8" width="25.140625" bestFit="1" customWidth="1"/>
    <col min="9" max="9" width="15.7109375" bestFit="1" customWidth="1"/>
    <col min="10" max="11" width="19.28515625" bestFit="1" customWidth="1"/>
  </cols>
  <sheetData>
    <row r="1" spans="1:11" x14ac:dyDescent="0.25">
      <c r="A1" t="s">
        <v>0</v>
      </c>
      <c r="B1" s="1" t="s">
        <v>1</v>
      </c>
      <c r="C1" s="4" t="s">
        <v>29</v>
      </c>
      <c r="D1" s="4" t="s">
        <v>30</v>
      </c>
      <c r="E1" t="s">
        <v>2</v>
      </c>
      <c r="F1" t="s">
        <v>3</v>
      </c>
      <c r="G1" t="s">
        <v>4</v>
      </c>
      <c r="H1" t="s">
        <v>5</v>
      </c>
      <c r="I1" t="s">
        <v>6</v>
      </c>
      <c r="J1" t="s">
        <v>7</v>
      </c>
      <c r="K1" t="s">
        <v>8</v>
      </c>
    </row>
    <row r="2" spans="1:11" x14ac:dyDescent="0.25">
      <c r="A2" t="s">
        <v>9</v>
      </c>
      <c r="B2" s="1">
        <v>45292</v>
      </c>
      <c r="C2" s="4">
        <f>YEAR(SalesData[[#This Row],[Date]])</f>
        <v>2024</v>
      </c>
      <c r="D2" s="4" t="str">
        <f>TEXT(SalesData[[#This Row],[Date]],"mmm")</f>
        <v>Jan</v>
      </c>
      <c r="E2">
        <v>74</v>
      </c>
      <c r="F2">
        <v>12</v>
      </c>
      <c r="G2">
        <v>330.42</v>
      </c>
      <c r="H2">
        <v>7</v>
      </c>
      <c r="I2" s="3">
        <v>0.58333333333333337</v>
      </c>
      <c r="J2" s="3">
        <v>4276.3100000000004</v>
      </c>
      <c r="K2" s="2">
        <v>0.29250498154049176</v>
      </c>
    </row>
    <row r="3" spans="1:11" x14ac:dyDescent="0.25">
      <c r="A3" t="s">
        <v>10</v>
      </c>
      <c r="B3" s="1">
        <v>45292</v>
      </c>
      <c r="C3" s="4">
        <f>YEAR(SalesData[[#This Row],[Date]])</f>
        <v>2024</v>
      </c>
      <c r="D3" s="4" t="str">
        <f>TEXT(SalesData[[#This Row],[Date]],"mmm")</f>
        <v>Jan</v>
      </c>
      <c r="E3">
        <v>78</v>
      </c>
      <c r="F3">
        <v>12</v>
      </c>
      <c r="G3">
        <v>377.5</v>
      </c>
      <c r="H3">
        <v>4</v>
      </c>
      <c r="I3" s="3">
        <v>0.33333333333333331</v>
      </c>
      <c r="J3" s="3">
        <v>3880.98</v>
      </c>
      <c r="K3" s="2">
        <v>6.4277116379917842E-2</v>
      </c>
    </row>
    <row r="4" spans="1:11" x14ac:dyDescent="0.25">
      <c r="A4" t="s">
        <v>11</v>
      </c>
      <c r="B4" s="1">
        <v>45292</v>
      </c>
      <c r="C4" s="4">
        <f>YEAR(SalesData[[#This Row],[Date]])</f>
        <v>2024</v>
      </c>
      <c r="D4" s="4" t="str">
        <f>TEXT(SalesData[[#This Row],[Date]],"mmm")</f>
        <v>Jan</v>
      </c>
      <c r="E4">
        <v>47</v>
      </c>
      <c r="F4">
        <v>14</v>
      </c>
      <c r="G4">
        <v>418.92</v>
      </c>
      <c r="H4">
        <v>2</v>
      </c>
      <c r="I4" s="3">
        <v>0.14285714285714285</v>
      </c>
      <c r="J4" s="3">
        <v>3716</v>
      </c>
      <c r="K4" s="2">
        <v>0.62530363063099814</v>
      </c>
    </row>
    <row r="5" spans="1:11" x14ac:dyDescent="0.25">
      <c r="A5" t="s">
        <v>12</v>
      </c>
      <c r="B5" s="1">
        <v>45292</v>
      </c>
      <c r="C5" s="4">
        <f>YEAR(SalesData[[#This Row],[Date]])</f>
        <v>2024</v>
      </c>
      <c r="D5" s="4" t="str">
        <f>TEXT(SalesData[[#This Row],[Date]],"mmm")</f>
        <v>Jan</v>
      </c>
      <c r="E5">
        <v>24</v>
      </c>
      <c r="F5">
        <v>6</v>
      </c>
      <c r="G5">
        <v>76.930000000000007</v>
      </c>
      <c r="H5">
        <v>4</v>
      </c>
      <c r="I5" s="3">
        <v>0.66666666666666663</v>
      </c>
      <c r="J5" s="3">
        <v>1552.35</v>
      </c>
      <c r="K5" s="2">
        <v>0.64609294268539663</v>
      </c>
    </row>
    <row r="6" spans="1:11" x14ac:dyDescent="0.25">
      <c r="A6" t="s">
        <v>13</v>
      </c>
      <c r="B6" s="1">
        <v>45292</v>
      </c>
      <c r="C6" s="4">
        <f>YEAR(SalesData[[#This Row],[Date]])</f>
        <v>2024</v>
      </c>
      <c r="D6" s="4" t="str">
        <f>TEXT(SalesData[[#This Row],[Date]],"mmm")</f>
        <v>Jan</v>
      </c>
      <c r="E6">
        <v>81</v>
      </c>
      <c r="F6">
        <v>16</v>
      </c>
      <c r="G6">
        <v>516.23</v>
      </c>
      <c r="H6">
        <v>5</v>
      </c>
      <c r="I6" s="3">
        <v>0.3125</v>
      </c>
      <c r="J6" s="3">
        <v>1030.68</v>
      </c>
      <c r="K6" s="2">
        <v>0.74740555908513828</v>
      </c>
    </row>
    <row r="7" spans="1:11" x14ac:dyDescent="0.25">
      <c r="A7" t="s">
        <v>14</v>
      </c>
      <c r="B7" s="1">
        <v>45292</v>
      </c>
      <c r="C7" s="4">
        <f>YEAR(SalesData[[#This Row],[Date]])</f>
        <v>2024</v>
      </c>
      <c r="D7" s="4" t="str">
        <f>TEXT(SalesData[[#This Row],[Date]],"mmm")</f>
        <v>Jan</v>
      </c>
      <c r="E7">
        <v>59</v>
      </c>
      <c r="F7">
        <v>5</v>
      </c>
      <c r="G7">
        <v>520.05999999999995</v>
      </c>
      <c r="H7">
        <v>3</v>
      </c>
      <c r="I7" s="3">
        <v>0.6</v>
      </c>
      <c r="J7" s="3">
        <v>3546.72</v>
      </c>
      <c r="K7" s="2">
        <v>0.51462662341031806</v>
      </c>
    </row>
    <row r="8" spans="1:11" x14ac:dyDescent="0.25">
      <c r="A8" t="s">
        <v>15</v>
      </c>
      <c r="B8" s="1">
        <v>45292</v>
      </c>
      <c r="C8" s="4">
        <f>YEAR(SalesData[[#This Row],[Date]])</f>
        <v>2024</v>
      </c>
      <c r="D8" s="4" t="str">
        <f>TEXT(SalesData[[#This Row],[Date]],"mmm")</f>
        <v>Jan</v>
      </c>
      <c r="E8">
        <v>68</v>
      </c>
      <c r="F8">
        <v>19</v>
      </c>
      <c r="G8">
        <v>290.39</v>
      </c>
      <c r="H8">
        <v>3</v>
      </c>
      <c r="I8" s="3">
        <v>0.15789473684210525</v>
      </c>
      <c r="J8" s="3">
        <v>2472.2399999999998</v>
      </c>
      <c r="K8" s="2">
        <v>0.53144767802810555</v>
      </c>
    </row>
    <row r="9" spans="1:11" x14ac:dyDescent="0.25">
      <c r="A9" t="s">
        <v>16</v>
      </c>
      <c r="B9" s="1">
        <v>45292</v>
      </c>
      <c r="C9" s="4">
        <f>YEAR(SalesData[[#This Row],[Date]])</f>
        <v>2024</v>
      </c>
      <c r="D9" s="4" t="str">
        <f>TEXT(SalesData[[#This Row],[Date]],"mmm")</f>
        <v>Jan</v>
      </c>
      <c r="E9">
        <v>34</v>
      </c>
      <c r="F9">
        <v>21</v>
      </c>
      <c r="G9">
        <v>362.62</v>
      </c>
      <c r="H9">
        <v>9</v>
      </c>
      <c r="I9" s="3">
        <v>0.42857142857142855</v>
      </c>
      <c r="J9" s="3">
        <v>1140.08</v>
      </c>
      <c r="K9" s="2">
        <v>0.35853689652345111</v>
      </c>
    </row>
    <row r="10" spans="1:11" x14ac:dyDescent="0.25">
      <c r="A10" t="s">
        <v>17</v>
      </c>
      <c r="B10" s="1">
        <v>45292</v>
      </c>
      <c r="C10" s="4">
        <f>YEAR(SalesData[[#This Row],[Date]])</f>
        <v>2024</v>
      </c>
      <c r="D10" s="4" t="str">
        <f>TEXT(SalesData[[#This Row],[Date]],"mmm")</f>
        <v>Jan</v>
      </c>
      <c r="E10">
        <v>59</v>
      </c>
      <c r="F10">
        <v>13</v>
      </c>
      <c r="G10">
        <v>307.49</v>
      </c>
      <c r="H10">
        <v>10</v>
      </c>
      <c r="I10" s="3">
        <v>0.76923076923076927</v>
      </c>
      <c r="J10" s="3">
        <v>979.09</v>
      </c>
      <c r="K10" s="2">
        <v>0.74377727629789769</v>
      </c>
    </row>
    <row r="11" spans="1:11" x14ac:dyDescent="0.25">
      <c r="A11" t="s">
        <v>18</v>
      </c>
      <c r="B11" s="1">
        <v>45292</v>
      </c>
      <c r="C11" s="4">
        <f>YEAR(SalesData[[#This Row],[Date]])</f>
        <v>2024</v>
      </c>
      <c r="D11" s="4" t="str">
        <f>TEXT(SalesData[[#This Row],[Date]],"mmm")</f>
        <v>Jan</v>
      </c>
      <c r="E11">
        <v>67</v>
      </c>
      <c r="F11">
        <v>17</v>
      </c>
      <c r="G11">
        <v>552.54999999999995</v>
      </c>
      <c r="H11">
        <v>2</v>
      </c>
      <c r="I11" s="3">
        <v>0.11764705882352941</v>
      </c>
      <c r="J11" s="3">
        <v>330.12</v>
      </c>
      <c r="K11" s="2">
        <v>6.77604610401501E-2</v>
      </c>
    </row>
    <row r="12" spans="1:11" x14ac:dyDescent="0.25">
      <c r="A12" t="s">
        <v>19</v>
      </c>
      <c r="B12" s="1">
        <v>45292</v>
      </c>
      <c r="C12" s="4">
        <f>YEAR(SalesData[[#This Row],[Date]])</f>
        <v>2024</v>
      </c>
      <c r="D12" s="4" t="str">
        <f>TEXT(SalesData[[#This Row],[Date]],"mmm")</f>
        <v>Jan</v>
      </c>
      <c r="E12">
        <v>36</v>
      </c>
      <c r="F12">
        <v>9</v>
      </c>
      <c r="G12">
        <v>216.03</v>
      </c>
      <c r="H12">
        <v>2</v>
      </c>
      <c r="I12" s="3">
        <v>0.22222222222222221</v>
      </c>
      <c r="J12" s="3">
        <v>4072.07</v>
      </c>
      <c r="K12" s="2">
        <v>0.80831742473491663</v>
      </c>
    </row>
    <row r="13" spans="1:11" x14ac:dyDescent="0.25">
      <c r="A13" t="s">
        <v>20</v>
      </c>
      <c r="B13" s="1">
        <v>45292</v>
      </c>
      <c r="C13" s="4">
        <f>YEAR(SalesData[[#This Row],[Date]])</f>
        <v>2024</v>
      </c>
      <c r="D13" s="4" t="str">
        <f>TEXT(SalesData[[#This Row],[Date]],"mmm")</f>
        <v>Jan</v>
      </c>
      <c r="E13">
        <v>82</v>
      </c>
      <c r="F13">
        <v>4</v>
      </c>
      <c r="G13">
        <v>180.06</v>
      </c>
      <c r="H13">
        <v>4</v>
      </c>
      <c r="I13" s="3">
        <v>1</v>
      </c>
      <c r="J13" s="3">
        <v>1207.17</v>
      </c>
      <c r="K13" s="2">
        <v>0.84823122990677169</v>
      </c>
    </row>
    <row r="14" spans="1:11" x14ac:dyDescent="0.25">
      <c r="A14" t="s">
        <v>21</v>
      </c>
      <c r="B14" s="1">
        <v>45292</v>
      </c>
      <c r="C14" s="4">
        <f>YEAR(SalesData[[#This Row],[Date]])</f>
        <v>2024</v>
      </c>
      <c r="D14" s="4" t="str">
        <f>TEXT(SalesData[[#This Row],[Date]],"mmm")</f>
        <v>Jan</v>
      </c>
      <c r="E14">
        <v>81</v>
      </c>
      <c r="F14">
        <v>7</v>
      </c>
      <c r="G14">
        <v>82.43</v>
      </c>
      <c r="H14">
        <v>7</v>
      </c>
      <c r="I14" s="3">
        <v>1</v>
      </c>
      <c r="J14" s="3">
        <v>3463.96</v>
      </c>
      <c r="K14" s="2">
        <v>0.27974233861175424</v>
      </c>
    </row>
    <row r="15" spans="1:11" x14ac:dyDescent="0.25">
      <c r="A15" t="s">
        <v>22</v>
      </c>
      <c r="B15" s="1">
        <v>45292</v>
      </c>
      <c r="C15" s="4">
        <f>YEAR(SalesData[[#This Row],[Date]])</f>
        <v>2024</v>
      </c>
      <c r="D15" s="4" t="str">
        <f>TEXT(SalesData[[#This Row],[Date]],"mmm")</f>
        <v>Jan</v>
      </c>
      <c r="E15">
        <v>92</v>
      </c>
      <c r="F15">
        <v>20</v>
      </c>
      <c r="G15">
        <v>161.41999999999999</v>
      </c>
      <c r="H15">
        <v>4</v>
      </c>
      <c r="I15" s="3">
        <v>0.2</v>
      </c>
      <c r="J15" s="3">
        <v>425.41</v>
      </c>
      <c r="K15" s="2">
        <v>0.40078126640185485</v>
      </c>
    </row>
    <row r="16" spans="1:11" x14ac:dyDescent="0.25">
      <c r="A16" t="s">
        <v>23</v>
      </c>
      <c r="B16" s="1">
        <v>45292</v>
      </c>
      <c r="C16" s="4">
        <f>YEAR(SalesData[[#This Row],[Date]])</f>
        <v>2024</v>
      </c>
      <c r="D16" s="4" t="str">
        <f>TEXT(SalesData[[#This Row],[Date]],"mmm")</f>
        <v>Jan</v>
      </c>
      <c r="E16">
        <v>73</v>
      </c>
      <c r="F16">
        <v>12</v>
      </c>
      <c r="G16">
        <v>507.45</v>
      </c>
      <c r="H16">
        <v>0</v>
      </c>
      <c r="I16" s="3">
        <v>0</v>
      </c>
      <c r="J16" s="3">
        <v>1123.8399999999999</v>
      </c>
      <c r="K16" s="2">
        <v>0.43081887907527339</v>
      </c>
    </row>
    <row r="17" spans="1:11" x14ac:dyDescent="0.25">
      <c r="A17" t="s">
        <v>24</v>
      </c>
      <c r="B17" s="1">
        <v>45292</v>
      </c>
      <c r="C17" s="4">
        <f>YEAR(SalesData[[#This Row],[Date]])</f>
        <v>2024</v>
      </c>
      <c r="D17" s="4" t="str">
        <f>TEXT(SalesData[[#This Row],[Date]],"mmm")</f>
        <v>Jan</v>
      </c>
      <c r="E17">
        <v>25</v>
      </c>
      <c r="F17">
        <v>14</v>
      </c>
      <c r="G17">
        <v>279.95</v>
      </c>
      <c r="H17">
        <v>2</v>
      </c>
      <c r="I17" s="3">
        <v>0.14285714285714285</v>
      </c>
      <c r="J17" s="3">
        <v>1432.23</v>
      </c>
      <c r="K17" s="2">
        <v>0.56382343536496682</v>
      </c>
    </row>
    <row r="18" spans="1:11" x14ac:dyDescent="0.25">
      <c r="A18" t="s">
        <v>25</v>
      </c>
      <c r="B18" s="1">
        <v>45292</v>
      </c>
      <c r="C18" s="4">
        <f>YEAR(SalesData[[#This Row],[Date]])</f>
        <v>2024</v>
      </c>
      <c r="D18" s="4" t="str">
        <f>TEXT(SalesData[[#This Row],[Date]],"mmm")</f>
        <v>Jan</v>
      </c>
      <c r="E18">
        <v>63</v>
      </c>
      <c r="F18">
        <v>8</v>
      </c>
      <c r="G18">
        <v>170.49</v>
      </c>
      <c r="H18">
        <v>7</v>
      </c>
      <c r="I18" s="3">
        <v>0.875</v>
      </c>
      <c r="J18" s="3">
        <v>526.12</v>
      </c>
      <c r="K18" s="2">
        <v>0.22587267789073762</v>
      </c>
    </row>
    <row r="19" spans="1:11" x14ac:dyDescent="0.25">
      <c r="A19" t="s">
        <v>26</v>
      </c>
      <c r="B19" s="1">
        <v>45292</v>
      </c>
      <c r="C19" s="4">
        <f>YEAR(SalesData[[#This Row],[Date]])</f>
        <v>2024</v>
      </c>
      <c r="D19" s="4" t="str">
        <f>TEXT(SalesData[[#This Row],[Date]],"mmm")</f>
        <v>Jan</v>
      </c>
      <c r="E19">
        <v>92</v>
      </c>
      <c r="F19">
        <v>13</v>
      </c>
      <c r="G19">
        <v>422.39</v>
      </c>
      <c r="H19">
        <v>1</v>
      </c>
      <c r="I19" s="3">
        <v>7.6923076923076927E-2</v>
      </c>
      <c r="J19" s="3">
        <v>2695.84</v>
      </c>
      <c r="K19" s="2">
        <v>0.74643149882196569</v>
      </c>
    </row>
    <row r="20" spans="1:11" x14ac:dyDescent="0.25">
      <c r="A20" t="s">
        <v>27</v>
      </c>
      <c r="B20" s="1">
        <v>45292</v>
      </c>
      <c r="C20" s="4">
        <f>YEAR(SalesData[[#This Row],[Date]])</f>
        <v>2024</v>
      </c>
      <c r="D20" s="4" t="str">
        <f>TEXT(SalesData[[#This Row],[Date]],"mmm")</f>
        <v>Jan</v>
      </c>
      <c r="E20">
        <v>38</v>
      </c>
      <c r="F20">
        <v>10</v>
      </c>
      <c r="G20">
        <v>514.25</v>
      </c>
      <c r="H20">
        <v>4</v>
      </c>
      <c r="I20" s="3">
        <v>0.4</v>
      </c>
      <c r="J20" s="3">
        <v>243.62</v>
      </c>
      <c r="K20" s="2">
        <v>0.76295438620052014</v>
      </c>
    </row>
    <row r="21" spans="1:11" x14ac:dyDescent="0.25">
      <c r="A21" t="s">
        <v>28</v>
      </c>
      <c r="B21" s="1">
        <v>45292</v>
      </c>
      <c r="C21" s="4">
        <f>YEAR(SalesData[[#This Row],[Date]])</f>
        <v>2024</v>
      </c>
      <c r="D21" s="4" t="str">
        <f>TEXT(SalesData[[#This Row],[Date]],"mmm")</f>
        <v>Jan</v>
      </c>
      <c r="E21">
        <v>43</v>
      </c>
      <c r="F21">
        <v>15</v>
      </c>
      <c r="G21">
        <v>363.48</v>
      </c>
      <c r="H21">
        <v>7</v>
      </c>
      <c r="I21" s="3">
        <v>0.46666666666666667</v>
      </c>
      <c r="J21" s="3">
        <v>3843.52</v>
      </c>
      <c r="K21" s="2">
        <v>0.332169609928884</v>
      </c>
    </row>
    <row r="22" spans="1:11" x14ac:dyDescent="0.25">
      <c r="A22" t="s">
        <v>9</v>
      </c>
      <c r="B22" s="1">
        <v>45323</v>
      </c>
      <c r="C22" s="4">
        <f>YEAR(SalesData[[#This Row],[Date]])</f>
        <v>2024</v>
      </c>
      <c r="D22" s="4" t="str">
        <f>TEXT(SalesData[[#This Row],[Date]],"mmm")</f>
        <v>Feb</v>
      </c>
      <c r="E22">
        <v>62</v>
      </c>
      <c r="F22">
        <v>15</v>
      </c>
      <c r="G22">
        <v>361.38</v>
      </c>
      <c r="H22">
        <v>6</v>
      </c>
      <c r="I22" s="3">
        <v>0.4</v>
      </c>
      <c r="J22" s="3">
        <v>4195.1400000000003</v>
      </c>
      <c r="K22" s="2">
        <v>0.99407056594765741</v>
      </c>
    </row>
    <row r="23" spans="1:11" x14ac:dyDescent="0.25">
      <c r="A23" t="s">
        <v>10</v>
      </c>
      <c r="B23" s="1">
        <v>45323</v>
      </c>
      <c r="C23" s="4">
        <f>YEAR(SalesData[[#This Row],[Date]])</f>
        <v>2024</v>
      </c>
      <c r="D23" s="4" t="str">
        <f>TEXT(SalesData[[#This Row],[Date]],"mmm")</f>
        <v>Feb</v>
      </c>
      <c r="E23">
        <v>81</v>
      </c>
      <c r="F23">
        <v>14</v>
      </c>
      <c r="G23">
        <v>362.96</v>
      </c>
      <c r="H23">
        <v>5</v>
      </c>
      <c r="I23" s="3">
        <v>0.35714285714285715</v>
      </c>
      <c r="J23" s="3">
        <v>3620.19</v>
      </c>
      <c r="K23" s="2">
        <v>0.41391659101421729</v>
      </c>
    </row>
    <row r="24" spans="1:11" x14ac:dyDescent="0.25">
      <c r="A24" t="s">
        <v>11</v>
      </c>
      <c r="B24" s="1">
        <v>45323</v>
      </c>
      <c r="C24" s="4">
        <f>YEAR(SalesData[[#This Row],[Date]])</f>
        <v>2024</v>
      </c>
      <c r="D24" s="4" t="str">
        <f>TEXT(SalesData[[#This Row],[Date]],"mmm")</f>
        <v>Feb</v>
      </c>
      <c r="E24">
        <v>52</v>
      </c>
      <c r="F24">
        <v>14</v>
      </c>
      <c r="G24">
        <v>382.59</v>
      </c>
      <c r="H24">
        <v>3</v>
      </c>
      <c r="I24" s="3">
        <v>0.21428571428571427</v>
      </c>
      <c r="J24" s="3">
        <v>3394.39</v>
      </c>
      <c r="K24" s="2">
        <v>0.66095528069524023</v>
      </c>
    </row>
    <row r="25" spans="1:11" x14ac:dyDescent="0.25">
      <c r="A25" t="s">
        <v>12</v>
      </c>
      <c r="B25" s="1">
        <v>45323</v>
      </c>
      <c r="C25" s="4">
        <f>YEAR(SalesData[[#This Row],[Date]])</f>
        <v>2024</v>
      </c>
      <c r="D25" s="4" t="str">
        <f>TEXT(SalesData[[#This Row],[Date]],"mmm")</f>
        <v>Feb</v>
      </c>
      <c r="E25">
        <v>22</v>
      </c>
      <c r="F25">
        <v>7</v>
      </c>
      <c r="G25">
        <v>79.459999999999994</v>
      </c>
      <c r="H25">
        <v>3</v>
      </c>
      <c r="I25" s="3">
        <v>0.42857142857142855</v>
      </c>
      <c r="J25" s="3">
        <v>1638.74</v>
      </c>
      <c r="K25" s="2">
        <v>0.78374121533652186</v>
      </c>
    </row>
    <row r="26" spans="1:11" x14ac:dyDescent="0.25">
      <c r="A26" t="s">
        <v>13</v>
      </c>
      <c r="B26" s="1">
        <v>45323</v>
      </c>
      <c r="C26" s="4">
        <f>YEAR(SalesData[[#This Row],[Date]])</f>
        <v>2024</v>
      </c>
      <c r="D26" s="4" t="str">
        <f>TEXT(SalesData[[#This Row],[Date]],"mmm")</f>
        <v>Feb</v>
      </c>
      <c r="E26">
        <v>93</v>
      </c>
      <c r="F26">
        <v>11</v>
      </c>
      <c r="G26">
        <v>446.3</v>
      </c>
      <c r="H26">
        <v>5</v>
      </c>
      <c r="I26" s="3">
        <v>0.45454545454545453</v>
      </c>
      <c r="J26" s="3">
        <v>1057.1400000000001</v>
      </c>
      <c r="K26" s="2">
        <v>0.78942484627941989</v>
      </c>
    </row>
    <row r="27" spans="1:11" x14ac:dyDescent="0.25">
      <c r="A27" t="s">
        <v>14</v>
      </c>
      <c r="B27" s="1">
        <v>45323</v>
      </c>
      <c r="C27" s="4">
        <f>YEAR(SalesData[[#This Row],[Date]])</f>
        <v>2024</v>
      </c>
      <c r="D27" s="4" t="str">
        <f>TEXT(SalesData[[#This Row],[Date]],"mmm")</f>
        <v>Feb</v>
      </c>
      <c r="E27">
        <v>65</v>
      </c>
      <c r="F27">
        <v>7</v>
      </c>
      <c r="G27">
        <v>461.67</v>
      </c>
      <c r="H27">
        <v>2</v>
      </c>
      <c r="I27" s="3">
        <v>0.2857142857142857</v>
      </c>
      <c r="J27" s="3">
        <v>3486.23</v>
      </c>
      <c r="K27" s="2">
        <v>0.31218551897920055</v>
      </c>
    </row>
    <row r="28" spans="1:11" x14ac:dyDescent="0.25">
      <c r="A28" t="s">
        <v>15</v>
      </c>
      <c r="B28" s="1">
        <v>45323</v>
      </c>
      <c r="C28" s="4">
        <f>YEAR(SalesData[[#This Row],[Date]])</f>
        <v>2024</v>
      </c>
      <c r="D28" s="4" t="str">
        <f>TEXT(SalesData[[#This Row],[Date]],"mmm")</f>
        <v>Feb</v>
      </c>
      <c r="E28">
        <v>90</v>
      </c>
      <c r="F28">
        <v>20</v>
      </c>
      <c r="G28">
        <v>328.63</v>
      </c>
      <c r="H28">
        <v>3</v>
      </c>
      <c r="I28" s="3">
        <v>0.15</v>
      </c>
      <c r="J28" s="3">
        <v>2662.44</v>
      </c>
      <c r="K28" s="2">
        <v>0.87726929111172314</v>
      </c>
    </row>
    <row r="29" spans="1:11" x14ac:dyDescent="0.25">
      <c r="A29" t="s">
        <v>16</v>
      </c>
      <c r="B29" s="1">
        <v>45323</v>
      </c>
      <c r="C29" s="4">
        <f>YEAR(SalesData[[#This Row],[Date]])</f>
        <v>2024</v>
      </c>
      <c r="D29" s="4" t="str">
        <f>TEXT(SalesData[[#This Row],[Date]],"mmm")</f>
        <v>Feb</v>
      </c>
      <c r="E29">
        <v>37</v>
      </c>
      <c r="F29">
        <v>17</v>
      </c>
      <c r="G29">
        <v>378.61</v>
      </c>
      <c r="H29">
        <v>10</v>
      </c>
      <c r="I29" s="3">
        <v>0.58823529411764708</v>
      </c>
      <c r="J29" s="3">
        <v>1295.07</v>
      </c>
      <c r="K29" s="2">
        <v>0.72921351278694924</v>
      </c>
    </row>
    <row r="30" spans="1:11" x14ac:dyDescent="0.25">
      <c r="A30" t="s">
        <v>17</v>
      </c>
      <c r="B30" s="1">
        <v>45323</v>
      </c>
      <c r="C30" s="4">
        <f>YEAR(SalesData[[#This Row],[Date]])</f>
        <v>2024</v>
      </c>
      <c r="D30" s="4" t="str">
        <f>TEXT(SalesData[[#This Row],[Date]],"mmm")</f>
        <v>Feb</v>
      </c>
      <c r="E30">
        <v>68</v>
      </c>
      <c r="F30">
        <v>16</v>
      </c>
      <c r="G30">
        <v>299.58999999999997</v>
      </c>
      <c r="H30">
        <v>9</v>
      </c>
      <c r="I30" s="3">
        <v>0.5625</v>
      </c>
      <c r="J30" s="3">
        <v>979.47</v>
      </c>
      <c r="K30" s="2">
        <v>0.2227964157727782</v>
      </c>
    </row>
    <row r="31" spans="1:11" x14ac:dyDescent="0.25">
      <c r="A31" t="s">
        <v>18</v>
      </c>
      <c r="B31" s="1">
        <v>45323</v>
      </c>
      <c r="C31" s="4">
        <f>YEAR(SalesData[[#This Row],[Date]])</f>
        <v>2024</v>
      </c>
      <c r="D31" s="4" t="str">
        <f>TEXT(SalesData[[#This Row],[Date]],"mmm")</f>
        <v>Feb</v>
      </c>
      <c r="E31">
        <v>68</v>
      </c>
      <c r="F31">
        <v>21</v>
      </c>
      <c r="G31">
        <v>553.08000000000004</v>
      </c>
      <c r="H31">
        <v>3</v>
      </c>
      <c r="I31" s="3">
        <v>0.14285714285714285</v>
      </c>
      <c r="J31" s="3">
        <v>360.7</v>
      </c>
      <c r="K31" s="2">
        <v>8.5943005370985093E-2</v>
      </c>
    </row>
    <row r="32" spans="1:11" x14ac:dyDescent="0.25">
      <c r="A32" t="s">
        <v>19</v>
      </c>
      <c r="B32" s="1">
        <v>45323</v>
      </c>
      <c r="C32" s="4">
        <f>YEAR(SalesData[[#This Row],[Date]])</f>
        <v>2024</v>
      </c>
      <c r="D32" s="4" t="str">
        <f>TEXT(SalesData[[#This Row],[Date]],"mmm")</f>
        <v>Feb</v>
      </c>
      <c r="E32">
        <v>30</v>
      </c>
      <c r="F32">
        <v>8</v>
      </c>
      <c r="G32">
        <v>223.22</v>
      </c>
      <c r="H32">
        <v>2</v>
      </c>
      <c r="I32" s="3">
        <v>0.25</v>
      </c>
      <c r="J32" s="3">
        <v>3595.12</v>
      </c>
      <c r="K32" s="2">
        <v>4.7029101731369316E-2</v>
      </c>
    </row>
    <row r="33" spans="1:11" x14ac:dyDescent="0.25">
      <c r="A33" t="s">
        <v>20</v>
      </c>
      <c r="B33" s="1">
        <v>45323</v>
      </c>
      <c r="C33" s="4">
        <f>YEAR(SalesData[[#This Row],[Date]])</f>
        <v>2024</v>
      </c>
      <c r="D33" s="4" t="str">
        <f>TEXT(SalesData[[#This Row],[Date]],"mmm")</f>
        <v>Feb</v>
      </c>
      <c r="E33">
        <v>92</v>
      </c>
      <c r="F33">
        <v>6</v>
      </c>
      <c r="G33">
        <v>180.46</v>
      </c>
      <c r="H33">
        <v>5</v>
      </c>
      <c r="I33" s="3">
        <v>0.83333333333333337</v>
      </c>
      <c r="J33" s="3">
        <v>1173.27</v>
      </c>
      <c r="K33" s="2">
        <v>0.67690445284086531</v>
      </c>
    </row>
    <row r="34" spans="1:11" x14ac:dyDescent="0.25">
      <c r="A34" t="s">
        <v>21</v>
      </c>
      <c r="B34" s="1">
        <v>45323</v>
      </c>
      <c r="C34" s="4">
        <f>YEAR(SalesData[[#This Row],[Date]])</f>
        <v>2024</v>
      </c>
      <c r="D34" s="4" t="str">
        <f>TEXT(SalesData[[#This Row],[Date]],"mmm")</f>
        <v>Feb</v>
      </c>
      <c r="E34">
        <v>92</v>
      </c>
      <c r="F34">
        <v>7</v>
      </c>
      <c r="G34">
        <v>80.12</v>
      </c>
      <c r="H34">
        <v>6</v>
      </c>
      <c r="I34" s="3">
        <v>0.8571428571428571</v>
      </c>
      <c r="J34" s="3">
        <v>3794.02</v>
      </c>
      <c r="K34" s="2">
        <v>0.7229564097314668</v>
      </c>
    </row>
    <row r="35" spans="1:11" x14ac:dyDescent="0.25">
      <c r="A35" t="s">
        <v>22</v>
      </c>
      <c r="B35" s="1">
        <v>45323</v>
      </c>
      <c r="C35" s="4">
        <f>YEAR(SalesData[[#This Row],[Date]])</f>
        <v>2024</v>
      </c>
      <c r="D35" s="4" t="str">
        <f>TEXT(SalesData[[#This Row],[Date]],"mmm")</f>
        <v>Feb</v>
      </c>
      <c r="E35">
        <v>83</v>
      </c>
      <c r="F35">
        <v>20</v>
      </c>
      <c r="G35">
        <v>193.39</v>
      </c>
      <c r="H35">
        <v>5</v>
      </c>
      <c r="I35" s="3">
        <v>0.25</v>
      </c>
      <c r="J35" s="3">
        <v>402.53</v>
      </c>
      <c r="K35" s="2">
        <v>0.506336516146214</v>
      </c>
    </row>
    <row r="36" spans="1:11" x14ac:dyDescent="0.25">
      <c r="A36" t="s">
        <v>23</v>
      </c>
      <c r="B36" s="1">
        <v>45323</v>
      </c>
      <c r="C36" s="4">
        <f>YEAR(SalesData[[#This Row],[Date]])</f>
        <v>2024</v>
      </c>
      <c r="D36" s="4" t="str">
        <f>TEXT(SalesData[[#This Row],[Date]],"mmm")</f>
        <v>Feb</v>
      </c>
      <c r="E36">
        <v>57</v>
      </c>
      <c r="F36">
        <v>11</v>
      </c>
      <c r="G36">
        <v>454.77</v>
      </c>
      <c r="H36">
        <v>1</v>
      </c>
      <c r="I36" s="3">
        <v>9.0909090909090912E-2</v>
      </c>
      <c r="J36" s="3">
        <v>1152.4100000000001</v>
      </c>
      <c r="K36" s="2">
        <v>0.13054850997627987</v>
      </c>
    </row>
    <row r="37" spans="1:11" x14ac:dyDescent="0.25">
      <c r="A37" t="s">
        <v>24</v>
      </c>
      <c r="B37" s="1">
        <v>45323</v>
      </c>
      <c r="C37" s="4">
        <f>YEAR(SalesData[[#This Row],[Date]])</f>
        <v>2024</v>
      </c>
      <c r="D37" s="4" t="str">
        <f>TEXT(SalesData[[#This Row],[Date]],"mmm")</f>
        <v>Feb</v>
      </c>
      <c r="E37">
        <v>22</v>
      </c>
      <c r="F37">
        <v>17</v>
      </c>
      <c r="G37">
        <v>291.97000000000003</v>
      </c>
      <c r="H37">
        <v>1</v>
      </c>
      <c r="I37" s="3">
        <v>5.8823529411764705E-2</v>
      </c>
      <c r="J37" s="3">
        <v>1703.6</v>
      </c>
      <c r="K37" s="2">
        <v>0.22849227211275758</v>
      </c>
    </row>
    <row r="38" spans="1:11" x14ac:dyDescent="0.25">
      <c r="A38" t="s">
        <v>25</v>
      </c>
      <c r="B38" s="1">
        <v>45323</v>
      </c>
      <c r="C38" s="4">
        <f>YEAR(SalesData[[#This Row],[Date]])</f>
        <v>2024</v>
      </c>
      <c r="D38" s="4" t="str">
        <f>TEXT(SalesData[[#This Row],[Date]],"mmm")</f>
        <v>Feb</v>
      </c>
      <c r="E38">
        <v>68</v>
      </c>
      <c r="F38">
        <v>7</v>
      </c>
      <c r="G38">
        <v>171.76</v>
      </c>
      <c r="H38">
        <v>7</v>
      </c>
      <c r="I38" s="3">
        <v>1</v>
      </c>
      <c r="J38" s="3">
        <v>548.36</v>
      </c>
      <c r="K38" s="2">
        <v>0.98866156547325734</v>
      </c>
    </row>
    <row r="39" spans="1:11" x14ac:dyDescent="0.25">
      <c r="A39" t="s">
        <v>26</v>
      </c>
      <c r="B39" s="1">
        <v>45323</v>
      </c>
      <c r="C39" s="4">
        <f>YEAR(SalesData[[#This Row],[Date]])</f>
        <v>2024</v>
      </c>
      <c r="D39" s="4" t="str">
        <f>TEXT(SalesData[[#This Row],[Date]],"mmm")</f>
        <v>Feb</v>
      </c>
      <c r="E39">
        <v>83</v>
      </c>
      <c r="F39">
        <v>16</v>
      </c>
      <c r="G39">
        <v>382.21</v>
      </c>
      <c r="H39">
        <v>1</v>
      </c>
      <c r="I39" s="3">
        <v>6.25E-2</v>
      </c>
      <c r="J39" s="3">
        <v>3017.43</v>
      </c>
      <c r="K39" s="2">
        <v>0.26923064185214862</v>
      </c>
    </row>
    <row r="40" spans="1:11" x14ac:dyDescent="0.25">
      <c r="A40" t="s">
        <v>27</v>
      </c>
      <c r="B40" s="1">
        <v>45323</v>
      </c>
      <c r="C40" s="4">
        <f>YEAR(SalesData[[#This Row],[Date]])</f>
        <v>2024</v>
      </c>
      <c r="D40" s="4" t="str">
        <f>TEXT(SalesData[[#This Row],[Date]],"mmm")</f>
        <v>Feb</v>
      </c>
      <c r="E40">
        <v>31</v>
      </c>
      <c r="F40">
        <v>11</v>
      </c>
      <c r="G40">
        <v>562.73</v>
      </c>
      <c r="H40">
        <v>4</v>
      </c>
      <c r="I40" s="3">
        <v>0.36363636363636365</v>
      </c>
      <c r="J40" s="3">
        <v>221.94</v>
      </c>
      <c r="K40" s="2">
        <v>0.33374481055326399</v>
      </c>
    </row>
    <row r="41" spans="1:11" x14ac:dyDescent="0.25">
      <c r="A41" t="s">
        <v>28</v>
      </c>
      <c r="B41" s="1">
        <v>45323</v>
      </c>
      <c r="C41" s="4">
        <f>YEAR(SalesData[[#This Row],[Date]])</f>
        <v>2024</v>
      </c>
      <c r="D41" s="4" t="str">
        <f>TEXT(SalesData[[#This Row],[Date]],"mmm")</f>
        <v>Feb</v>
      </c>
      <c r="E41">
        <v>34</v>
      </c>
      <c r="F41">
        <v>17</v>
      </c>
      <c r="G41">
        <v>380.37</v>
      </c>
      <c r="H41">
        <v>7</v>
      </c>
      <c r="I41" s="3">
        <v>0.41176470588235292</v>
      </c>
      <c r="J41" s="3">
        <v>4183.2700000000004</v>
      </c>
      <c r="K41" s="2">
        <v>0.39091217069507511</v>
      </c>
    </row>
    <row r="42" spans="1:11" x14ac:dyDescent="0.25">
      <c r="A42" t="s">
        <v>9</v>
      </c>
      <c r="B42" s="1">
        <v>45352</v>
      </c>
      <c r="C42" s="4">
        <f>YEAR(SalesData[[#This Row],[Date]])</f>
        <v>2024</v>
      </c>
      <c r="D42" s="4" t="str">
        <f>TEXT(SalesData[[#This Row],[Date]],"mmm")</f>
        <v>Mar</v>
      </c>
      <c r="E42">
        <v>55</v>
      </c>
      <c r="F42">
        <v>17</v>
      </c>
      <c r="G42">
        <v>315.62</v>
      </c>
      <c r="H42">
        <v>5</v>
      </c>
      <c r="I42" s="3">
        <v>0.29411764705882354</v>
      </c>
      <c r="J42" s="3">
        <v>3890.73</v>
      </c>
      <c r="K42" s="2">
        <v>0.82879865849495837</v>
      </c>
    </row>
    <row r="43" spans="1:11" x14ac:dyDescent="0.25">
      <c r="A43" t="s">
        <v>10</v>
      </c>
      <c r="B43" s="1">
        <v>45352</v>
      </c>
      <c r="C43" s="4">
        <f>YEAR(SalesData[[#This Row],[Date]])</f>
        <v>2024</v>
      </c>
      <c r="D43" s="4" t="str">
        <f>TEXT(SalesData[[#This Row],[Date]],"mmm")</f>
        <v>Mar</v>
      </c>
      <c r="E43">
        <v>91</v>
      </c>
      <c r="F43">
        <v>10</v>
      </c>
      <c r="G43">
        <v>361.58</v>
      </c>
      <c r="H43">
        <v>4</v>
      </c>
      <c r="I43" s="3">
        <v>0.4</v>
      </c>
      <c r="J43" s="3">
        <v>3674.37</v>
      </c>
      <c r="K43" s="2">
        <v>0.99907210466752039</v>
      </c>
    </row>
    <row r="44" spans="1:11" x14ac:dyDescent="0.25">
      <c r="A44" t="s">
        <v>11</v>
      </c>
      <c r="B44" s="1">
        <v>45352</v>
      </c>
      <c r="C44" s="4">
        <f>YEAR(SalesData[[#This Row],[Date]])</f>
        <v>2024</v>
      </c>
      <c r="D44" s="4" t="str">
        <f>TEXT(SalesData[[#This Row],[Date]],"mmm")</f>
        <v>Mar</v>
      </c>
      <c r="E44">
        <v>59</v>
      </c>
      <c r="F44">
        <v>13</v>
      </c>
      <c r="G44">
        <v>402.9</v>
      </c>
      <c r="H44">
        <v>2</v>
      </c>
      <c r="I44" s="3">
        <v>0.15384615384615385</v>
      </c>
      <c r="J44" s="3">
        <v>3357.27</v>
      </c>
      <c r="K44" s="2">
        <v>0.39761640589497804</v>
      </c>
    </row>
    <row r="45" spans="1:11" x14ac:dyDescent="0.25">
      <c r="A45" t="s">
        <v>12</v>
      </c>
      <c r="B45" s="1">
        <v>45352</v>
      </c>
      <c r="C45" s="4">
        <f>YEAR(SalesData[[#This Row],[Date]])</f>
        <v>2024</v>
      </c>
      <c r="D45" s="4" t="str">
        <f>TEXT(SalesData[[#This Row],[Date]],"mmm")</f>
        <v>Mar</v>
      </c>
      <c r="E45">
        <v>19</v>
      </c>
      <c r="F45">
        <v>6</v>
      </c>
      <c r="G45">
        <v>82.65</v>
      </c>
      <c r="H45">
        <v>3</v>
      </c>
      <c r="I45" s="3">
        <v>0.5</v>
      </c>
      <c r="J45" s="3">
        <v>1469.62</v>
      </c>
      <c r="K45" s="2">
        <v>0.91735843381571236</v>
      </c>
    </row>
    <row r="46" spans="1:11" x14ac:dyDescent="0.25">
      <c r="A46" t="s">
        <v>13</v>
      </c>
      <c r="B46" s="1">
        <v>45352</v>
      </c>
      <c r="C46" s="4">
        <f>YEAR(SalesData[[#This Row],[Date]])</f>
        <v>2024</v>
      </c>
      <c r="D46" s="4" t="str">
        <f>TEXT(SalesData[[#This Row],[Date]],"mmm")</f>
        <v>Mar</v>
      </c>
      <c r="E46">
        <v>77</v>
      </c>
      <c r="F46">
        <v>14</v>
      </c>
      <c r="G46">
        <v>494.43</v>
      </c>
      <c r="H46">
        <v>4</v>
      </c>
      <c r="I46" s="3">
        <v>0.2857142857142857</v>
      </c>
      <c r="J46" s="3">
        <v>963.35</v>
      </c>
      <c r="K46" s="2">
        <v>0.84544679781774368</v>
      </c>
    </row>
    <row r="47" spans="1:11" x14ac:dyDescent="0.25">
      <c r="A47" t="s">
        <v>14</v>
      </c>
      <c r="B47" s="1">
        <v>45352</v>
      </c>
      <c r="C47" s="4">
        <f>YEAR(SalesData[[#This Row],[Date]])</f>
        <v>2024</v>
      </c>
      <c r="D47" s="4" t="str">
        <f>TEXT(SalesData[[#This Row],[Date]],"mmm")</f>
        <v>Mar</v>
      </c>
      <c r="E47">
        <v>50</v>
      </c>
      <c r="F47">
        <v>8</v>
      </c>
      <c r="G47">
        <v>512.92999999999995</v>
      </c>
      <c r="H47">
        <v>3</v>
      </c>
      <c r="I47" s="3">
        <v>0.375</v>
      </c>
      <c r="J47" s="3">
        <v>3725.66</v>
      </c>
      <c r="K47" s="2">
        <v>0.27420842556022185</v>
      </c>
    </row>
    <row r="48" spans="1:11" x14ac:dyDescent="0.25">
      <c r="A48" t="s">
        <v>15</v>
      </c>
      <c r="B48" s="1">
        <v>45352</v>
      </c>
      <c r="C48" s="4">
        <f>YEAR(SalesData[[#This Row],[Date]])</f>
        <v>2024</v>
      </c>
      <c r="D48" s="4" t="str">
        <f>TEXT(SalesData[[#This Row],[Date]],"mmm")</f>
        <v>Mar</v>
      </c>
      <c r="E48">
        <v>88</v>
      </c>
      <c r="F48">
        <v>18</v>
      </c>
      <c r="G48">
        <v>291.04000000000002</v>
      </c>
      <c r="H48">
        <v>2</v>
      </c>
      <c r="I48" s="3">
        <v>0.1111111111111111</v>
      </c>
      <c r="J48" s="3">
        <v>2619.84</v>
      </c>
      <c r="K48" s="2">
        <v>0.78101685527032316</v>
      </c>
    </row>
    <row r="49" spans="1:11" x14ac:dyDescent="0.25">
      <c r="A49" t="s">
        <v>16</v>
      </c>
      <c r="B49" s="1">
        <v>45352</v>
      </c>
      <c r="C49" s="4">
        <f>YEAR(SalesData[[#This Row],[Date]])</f>
        <v>2024</v>
      </c>
      <c r="D49" s="4" t="str">
        <f>TEXT(SalesData[[#This Row],[Date]],"mmm")</f>
        <v>Mar</v>
      </c>
      <c r="E49">
        <v>33</v>
      </c>
      <c r="F49">
        <v>18</v>
      </c>
      <c r="G49">
        <v>348.57</v>
      </c>
      <c r="H49">
        <v>8</v>
      </c>
      <c r="I49" s="3">
        <v>0.44444444444444442</v>
      </c>
      <c r="J49" s="3">
        <v>1169.6400000000001</v>
      </c>
      <c r="K49" s="2">
        <v>0.44860173285980842</v>
      </c>
    </row>
    <row r="50" spans="1:11" x14ac:dyDescent="0.25">
      <c r="A50" t="s">
        <v>17</v>
      </c>
      <c r="B50" s="1">
        <v>45352</v>
      </c>
      <c r="C50" s="4">
        <f>YEAR(SalesData[[#This Row],[Date]])</f>
        <v>2024</v>
      </c>
      <c r="D50" s="4" t="str">
        <f>TEXT(SalesData[[#This Row],[Date]],"mmm")</f>
        <v>Mar</v>
      </c>
      <c r="E50">
        <v>54</v>
      </c>
      <c r="F50">
        <v>15</v>
      </c>
      <c r="G50">
        <v>321.99</v>
      </c>
      <c r="H50">
        <v>8</v>
      </c>
      <c r="I50" s="3">
        <v>0.53333333333333333</v>
      </c>
      <c r="J50" s="3">
        <v>1080.0899999999999</v>
      </c>
      <c r="K50" s="2">
        <v>0.22952877494243296</v>
      </c>
    </row>
    <row r="51" spans="1:11" x14ac:dyDescent="0.25">
      <c r="A51" t="s">
        <v>18</v>
      </c>
      <c r="B51" s="1">
        <v>45352</v>
      </c>
      <c r="C51" s="4">
        <f>YEAR(SalesData[[#This Row],[Date]])</f>
        <v>2024</v>
      </c>
      <c r="D51" s="4" t="str">
        <f>TEXT(SalesData[[#This Row],[Date]],"mmm")</f>
        <v>Mar</v>
      </c>
      <c r="E51">
        <v>68</v>
      </c>
      <c r="F51">
        <v>19</v>
      </c>
      <c r="G51">
        <v>623.25</v>
      </c>
      <c r="H51">
        <v>3</v>
      </c>
      <c r="I51" s="3">
        <v>0.15789473684210525</v>
      </c>
      <c r="J51" s="3">
        <v>355.96</v>
      </c>
      <c r="K51" s="2">
        <v>8.3299451419523773E-2</v>
      </c>
    </row>
    <row r="52" spans="1:11" x14ac:dyDescent="0.25">
      <c r="A52" t="s">
        <v>19</v>
      </c>
      <c r="B52" s="1">
        <v>45352</v>
      </c>
      <c r="C52" s="4">
        <f>YEAR(SalesData[[#This Row],[Date]])</f>
        <v>2024</v>
      </c>
      <c r="D52" s="4" t="str">
        <f>TEXT(SalesData[[#This Row],[Date]],"mmm")</f>
        <v>Mar</v>
      </c>
      <c r="E52">
        <v>31</v>
      </c>
      <c r="F52">
        <v>9</v>
      </c>
      <c r="G52">
        <v>209.18</v>
      </c>
      <c r="H52">
        <v>2</v>
      </c>
      <c r="I52" s="3">
        <v>0.22222222222222221</v>
      </c>
      <c r="J52" s="3">
        <v>4153.3100000000004</v>
      </c>
      <c r="K52" s="2">
        <v>0.85704958559719657</v>
      </c>
    </row>
    <row r="53" spans="1:11" x14ac:dyDescent="0.25">
      <c r="A53" t="s">
        <v>20</v>
      </c>
      <c r="B53" s="1">
        <v>45352</v>
      </c>
      <c r="C53" s="4">
        <f>YEAR(SalesData[[#This Row],[Date]])</f>
        <v>2024</v>
      </c>
      <c r="D53" s="4" t="str">
        <f>TEXT(SalesData[[#This Row],[Date]],"mmm")</f>
        <v>Mar</v>
      </c>
      <c r="E53">
        <v>83</v>
      </c>
      <c r="F53">
        <v>5</v>
      </c>
      <c r="G53">
        <v>170.12</v>
      </c>
      <c r="H53">
        <v>3</v>
      </c>
      <c r="I53" s="3">
        <v>0.6</v>
      </c>
      <c r="J53" s="3">
        <v>1171.95</v>
      </c>
      <c r="K53" s="2">
        <v>0.38836743984732092</v>
      </c>
    </row>
    <row r="54" spans="1:11" x14ac:dyDescent="0.25">
      <c r="A54" t="s">
        <v>21</v>
      </c>
      <c r="B54" s="1">
        <v>45352</v>
      </c>
      <c r="C54" s="4">
        <f>YEAR(SalesData[[#This Row],[Date]])</f>
        <v>2024</v>
      </c>
      <c r="D54" s="4" t="str">
        <f>TEXT(SalesData[[#This Row],[Date]],"mmm")</f>
        <v>Mar</v>
      </c>
      <c r="E54">
        <v>74</v>
      </c>
      <c r="F54">
        <v>7</v>
      </c>
      <c r="G54">
        <v>87.89</v>
      </c>
      <c r="H54">
        <v>7</v>
      </c>
      <c r="I54" s="3">
        <v>1</v>
      </c>
      <c r="J54" s="3">
        <v>3848.14</v>
      </c>
      <c r="K54" s="2">
        <v>0.11533209784366893</v>
      </c>
    </row>
    <row r="55" spans="1:11" x14ac:dyDescent="0.25">
      <c r="A55" t="s">
        <v>22</v>
      </c>
      <c r="B55" s="1">
        <v>45352</v>
      </c>
      <c r="C55" s="4">
        <f>YEAR(SalesData[[#This Row],[Date]])</f>
        <v>2024</v>
      </c>
      <c r="D55" s="4" t="str">
        <f>TEXT(SalesData[[#This Row],[Date]],"mmm")</f>
        <v>Mar</v>
      </c>
      <c r="E55">
        <v>84</v>
      </c>
      <c r="F55">
        <v>15</v>
      </c>
      <c r="G55">
        <v>163.21</v>
      </c>
      <c r="H55">
        <v>5</v>
      </c>
      <c r="I55" s="3">
        <v>0.33333333333333331</v>
      </c>
      <c r="J55" s="3">
        <v>411.36</v>
      </c>
      <c r="K55" s="2">
        <v>0.82102551235966648</v>
      </c>
    </row>
    <row r="56" spans="1:11" x14ac:dyDescent="0.25">
      <c r="A56" t="s">
        <v>23</v>
      </c>
      <c r="B56" s="1">
        <v>45352</v>
      </c>
      <c r="C56" s="4">
        <f>YEAR(SalesData[[#This Row],[Date]])</f>
        <v>2024</v>
      </c>
      <c r="D56" s="4" t="str">
        <f>TEXT(SalesData[[#This Row],[Date]],"mmm")</f>
        <v>Mar</v>
      </c>
      <c r="E56">
        <v>64</v>
      </c>
      <c r="F56">
        <v>13</v>
      </c>
      <c r="G56">
        <v>496.4</v>
      </c>
      <c r="H56">
        <v>0</v>
      </c>
      <c r="I56" s="3">
        <v>0</v>
      </c>
      <c r="J56" s="3">
        <v>1306.3800000000001</v>
      </c>
      <c r="K56" s="2">
        <v>0.58127303699331401</v>
      </c>
    </row>
    <row r="57" spans="1:11" x14ac:dyDescent="0.25">
      <c r="A57" t="s">
        <v>24</v>
      </c>
      <c r="B57" s="1">
        <v>45352</v>
      </c>
      <c r="C57" s="4">
        <f>YEAR(SalesData[[#This Row],[Date]])</f>
        <v>2024</v>
      </c>
      <c r="D57" s="4" t="str">
        <f>TEXT(SalesData[[#This Row],[Date]],"mmm")</f>
        <v>Mar</v>
      </c>
      <c r="E57">
        <v>21</v>
      </c>
      <c r="F57">
        <v>13</v>
      </c>
      <c r="G57">
        <v>315.41000000000003</v>
      </c>
      <c r="H57">
        <v>1</v>
      </c>
      <c r="I57" s="3">
        <v>7.6923076923076927E-2</v>
      </c>
      <c r="J57" s="3">
        <v>1692.59</v>
      </c>
      <c r="K57" s="2">
        <v>0.37312688877033107</v>
      </c>
    </row>
    <row r="58" spans="1:11" x14ac:dyDescent="0.25">
      <c r="A58" t="s">
        <v>25</v>
      </c>
      <c r="B58" s="1">
        <v>45352</v>
      </c>
      <c r="C58" s="4">
        <f>YEAR(SalesData[[#This Row],[Date]])</f>
        <v>2024</v>
      </c>
      <c r="D58" s="4" t="str">
        <f>TEXT(SalesData[[#This Row],[Date]],"mmm")</f>
        <v>Mar</v>
      </c>
      <c r="E58">
        <v>62</v>
      </c>
      <c r="F58">
        <v>8</v>
      </c>
      <c r="G58">
        <v>198.84</v>
      </c>
      <c r="H58">
        <v>8</v>
      </c>
      <c r="I58" s="3">
        <v>1</v>
      </c>
      <c r="J58" s="3">
        <v>534.58000000000004</v>
      </c>
      <c r="K58" s="2">
        <v>0.1626367056582062</v>
      </c>
    </row>
    <row r="59" spans="1:11" x14ac:dyDescent="0.25">
      <c r="A59" t="s">
        <v>26</v>
      </c>
      <c r="B59" s="1">
        <v>45352</v>
      </c>
      <c r="C59" s="4">
        <f>YEAR(SalesData[[#This Row],[Date]])</f>
        <v>2024</v>
      </c>
      <c r="D59" s="4" t="str">
        <f>TEXT(SalesData[[#This Row],[Date]],"mmm")</f>
        <v>Mar</v>
      </c>
      <c r="E59">
        <v>108</v>
      </c>
      <c r="F59">
        <v>14</v>
      </c>
      <c r="G59">
        <v>416.78</v>
      </c>
      <c r="H59">
        <v>1</v>
      </c>
      <c r="I59" s="3">
        <v>7.1428571428571425E-2</v>
      </c>
      <c r="J59" s="3">
        <v>2989.69</v>
      </c>
      <c r="K59" s="2">
        <v>0.88638942792511211</v>
      </c>
    </row>
    <row r="60" spans="1:11" x14ac:dyDescent="0.25">
      <c r="A60" t="s">
        <v>27</v>
      </c>
      <c r="B60" s="1">
        <v>45352</v>
      </c>
      <c r="C60" s="4">
        <f>YEAR(SalesData[[#This Row],[Date]])</f>
        <v>2024</v>
      </c>
      <c r="D60" s="4" t="str">
        <f>TEXT(SalesData[[#This Row],[Date]],"mmm")</f>
        <v>Mar</v>
      </c>
      <c r="E60">
        <v>28</v>
      </c>
      <c r="F60">
        <v>12</v>
      </c>
      <c r="G60">
        <v>533.85</v>
      </c>
      <c r="H60">
        <v>5</v>
      </c>
      <c r="I60" s="3">
        <v>0.41666666666666669</v>
      </c>
      <c r="J60" s="3">
        <v>224.87</v>
      </c>
      <c r="K60" s="2">
        <v>0.22975041700274268</v>
      </c>
    </row>
    <row r="61" spans="1:11" x14ac:dyDescent="0.25">
      <c r="A61" t="s">
        <v>28</v>
      </c>
      <c r="B61" s="1">
        <v>45352</v>
      </c>
      <c r="C61" s="4">
        <f>YEAR(SalesData[[#This Row],[Date]])</f>
        <v>2024</v>
      </c>
      <c r="D61" s="4" t="str">
        <f>TEXT(SalesData[[#This Row],[Date]],"mmm")</f>
        <v>Mar</v>
      </c>
      <c r="E61">
        <v>39</v>
      </c>
      <c r="F61">
        <v>16</v>
      </c>
      <c r="G61">
        <v>312.8</v>
      </c>
      <c r="H61">
        <v>8</v>
      </c>
      <c r="I61" s="3">
        <v>0.5</v>
      </c>
      <c r="J61" s="3">
        <v>4592.09</v>
      </c>
      <c r="K61" s="2">
        <v>9.484195845905552E-2</v>
      </c>
    </row>
    <row r="62" spans="1:11" x14ac:dyDescent="0.25">
      <c r="A62" t="s">
        <v>9</v>
      </c>
      <c r="B62" s="1">
        <v>45383</v>
      </c>
      <c r="C62" s="4">
        <f>YEAR(SalesData[[#This Row],[Date]])</f>
        <v>2024</v>
      </c>
      <c r="D62" s="4" t="str">
        <f>TEXT(SalesData[[#This Row],[Date]],"mmm")</f>
        <v>Apr</v>
      </c>
      <c r="E62">
        <v>69</v>
      </c>
      <c r="F62">
        <v>17</v>
      </c>
      <c r="G62">
        <v>342.81</v>
      </c>
      <c r="H62">
        <v>6</v>
      </c>
      <c r="I62" s="3">
        <v>0.35294117647058826</v>
      </c>
      <c r="J62" s="3">
        <v>3728.2</v>
      </c>
      <c r="K62" s="2">
        <v>0.66110584667677053</v>
      </c>
    </row>
    <row r="63" spans="1:11" x14ac:dyDescent="0.25">
      <c r="A63" t="s">
        <v>10</v>
      </c>
      <c r="B63" s="1">
        <v>45383</v>
      </c>
      <c r="C63" s="4">
        <f>YEAR(SalesData[[#This Row],[Date]])</f>
        <v>2024</v>
      </c>
      <c r="D63" s="4" t="str">
        <f>TEXT(SalesData[[#This Row],[Date]],"mmm")</f>
        <v>Apr</v>
      </c>
      <c r="E63">
        <v>83</v>
      </c>
      <c r="F63">
        <v>11</v>
      </c>
      <c r="G63">
        <v>365.12</v>
      </c>
      <c r="H63">
        <v>5</v>
      </c>
      <c r="I63" s="3">
        <v>0.45454545454545453</v>
      </c>
      <c r="J63" s="3">
        <v>3682.69</v>
      </c>
      <c r="K63" s="2">
        <v>0.67263994854769815</v>
      </c>
    </row>
    <row r="64" spans="1:11" x14ac:dyDescent="0.25">
      <c r="A64" t="s">
        <v>11</v>
      </c>
      <c r="B64" s="1">
        <v>45383</v>
      </c>
      <c r="C64" s="4">
        <f>YEAR(SalesData[[#This Row],[Date]])</f>
        <v>2024</v>
      </c>
      <c r="D64" s="4" t="str">
        <f>TEXT(SalesData[[#This Row],[Date]],"mmm")</f>
        <v>Apr</v>
      </c>
      <c r="E64">
        <v>41</v>
      </c>
      <c r="F64">
        <v>14</v>
      </c>
      <c r="G64">
        <v>416.88</v>
      </c>
      <c r="H64">
        <v>2</v>
      </c>
      <c r="I64" s="3">
        <v>0.14285714285714285</v>
      </c>
      <c r="J64" s="3">
        <v>3638.83</v>
      </c>
      <c r="K64" s="2">
        <v>0.11088646452834217</v>
      </c>
    </row>
    <row r="65" spans="1:11" x14ac:dyDescent="0.25">
      <c r="A65" t="s">
        <v>12</v>
      </c>
      <c r="B65" s="1">
        <v>45383</v>
      </c>
      <c r="C65" s="4">
        <f>YEAR(SalesData[[#This Row],[Date]])</f>
        <v>2024</v>
      </c>
      <c r="D65" s="4" t="str">
        <f>TEXT(SalesData[[#This Row],[Date]],"mmm")</f>
        <v>Apr</v>
      </c>
      <c r="E65">
        <v>17</v>
      </c>
      <c r="F65">
        <v>7</v>
      </c>
      <c r="G65">
        <v>81.14</v>
      </c>
      <c r="H65">
        <v>3</v>
      </c>
      <c r="I65" s="3">
        <v>0.42857142857142855</v>
      </c>
      <c r="J65" s="3">
        <v>1419.04</v>
      </c>
      <c r="K65" s="2">
        <v>8.6057556358747678E-2</v>
      </c>
    </row>
    <row r="66" spans="1:11" x14ac:dyDescent="0.25">
      <c r="A66" t="s">
        <v>13</v>
      </c>
      <c r="B66" s="1">
        <v>45383</v>
      </c>
      <c r="C66" s="4">
        <f>YEAR(SalesData[[#This Row],[Date]])</f>
        <v>2024</v>
      </c>
      <c r="D66" s="4" t="str">
        <f>TEXT(SalesData[[#This Row],[Date]],"mmm")</f>
        <v>Apr</v>
      </c>
      <c r="E66">
        <v>76</v>
      </c>
      <c r="F66">
        <v>16</v>
      </c>
      <c r="G66">
        <v>449.04</v>
      </c>
      <c r="H66">
        <v>4</v>
      </c>
      <c r="I66" s="3">
        <v>0.25</v>
      </c>
      <c r="J66" s="3">
        <v>1019.97</v>
      </c>
      <c r="K66" s="2">
        <v>0.65548448167593354</v>
      </c>
    </row>
    <row r="67" spans="1:11" x14ac:dyDescent="0.25">
      <c r="A67" t="s">
        <v>14</v>
      </c>
      <c r="B67" s="1">
        <v>45383</v>
      </c>
      <c r="C67" s="4">
        <f>YEAR(SalesData[[#This Row],[Date]])</f>
        <v>2024</v>
      </c>
      <c r="D67" s="4" t="str">
        <f>TEXT(SalesData[[#This Row],[Date]],"mmm")</f>
        <v>Apr</v>
      </c>
      <c r="E67">
        <v>72</v>
      </c>
      <c r="F67">
        <v>6</v>
      </c>
      <c r="G67">
        <v>508.55</v>
      </c>
      <c r="H67">
        <v>3</v>
      </c>
      <c r="I67" s="3">
        <v>0.5</v>
      </c>
      <c r="J67" s="3">
        <v>3633.75</v>
      </c>
      <c r="K67" s="2">
        <v>0.30741183123720506</v>
      </c>
    </row>
    <row r="68" spans="1:11" x14ac:dyDescent="0.25">
      <c r="A68" t="s">
        <v>15</v>
      </c>
      <c r="B68" s="1">
        <v>45383</v>
      </c>
      <c r="C68" s="4">
        <f>YEAR(SalesData[[#This Row],[Date]])</f>
        <v>2024</v>
      </c>
      <c r="D68" s="4" t="str">
        <f>TEXT(SalesData[[#This Row],[Date]],"mmm")</f>
        <v>Apr</v>
      </c>
      <c r="E68">
        <v>72</v>
      </c>
      <c r="F68">
        <v>18</v>
      </c>
      <c r="G68">
        <v>299.08999999999997</v>
      </c>
      <c r="H68">
        <v>2</v>
      </c>
      <c r="I68" s="3">
        <v>0.1111111111111111</v>
      </c>
      <c r="J68" s="3">
        <v>2378.29</v>
      </c>
      <c r="K68" s="2">
        <v>0.40898999652292822</v>
      </c>
    </row>
    <row r="69" spans="1:11" x14ac:dyDescent="0.25">
      <c r="A69" t="s">
        <v>16</v>
      </c>
      <c r="B69" s="1">
        <v>45383</v>
      </c>
      <c r="C69" s="4">
        <f>YEAR(SalesData[[#This Row],[Date]])</f>
        <v>2024</v>
      </c>
      <c r="D69" s="4" t="str">
        <f>TEXT(SalesData[[#This Row],[Date]],"mmm")</f>
        <v>Apr</v>
      </c>
      <c r="E69">
        <v>29</v>
      </c>
      <c r="F69">
        <v>16</v>
      </c>
      <c r="G69">
        <v>412.07</v>
      </c>
      <c r="H69">
        <v>10</v>
      </c>
      <c r="I69" s="3">
        <v>0.625</v>
      </c>
      <c r="J69" s="3">
        <v>1075.94</v>
      </c>
      <c r="K69" s="2">
        <v>0.19458455737129243</v>
      </c>
    </row>
    <row r="70" spans="1:11" x14ac:dyDescent="0.25">
      <c r="A70" t="s">
        <v>17</v>
      </c>
      <c r="B70" s="1">
        <v>45383</v>
      </c>
      <c r="C70" s="4">
        <f>YEAR(SalesData[[#This Row],[Date]])</f>
        <v>2024</v>
      </c>
      <c r="D70" s="4" t="str">
        <f>TEXT(SalesData[[#This Row],[Date]],"mmm")</f>
        <v>Apr</v>
      </c>
      <c r="E70">
        <v>64</v>
      </c>
      <c r="F70">
        <v>13</v>
      </c>
      <c r="G70">
        <v>317.58</v>
      </c>
      <c r="H70">
        <v>8</v>
      </c>
      <c r="I70" s="3">
        <v>0.61538461538461542</v>
      </c>
      <c r="J70" s="3">
        <v>1088.22</v>
      </c>
      <c r="K70" s="2">
        <v>0.76957326434108764</v>
      </c>
    </row>
    <row r="71" spans="1:11" x14ac:dyDescent="0.25">
      <c r="A71" t="s">
        <v>18</v>
      </c>
      <c r="B71" s="1">
        <v>45383</v>
      </c>
      <c r="C71" s="4">
        <f>YEAR(SalesData[[#This Row],[Date]])</f>
        <v>2024</v>
      </c>
      <c r="D71" s="4" t="str">
        <f>TEXT(SalesData[[#This Row],[Date]],"mmm")</f>
        <v>Apr</v>
      </c>
      <c r="E71">
        <v>81</v>
      </c>
      <c r="F71">
        <v>16</v>
      </c>
      <c r="G71">
        <v>584.29999999999995</v>
      </c>
      <c r="H71">
        <v>3</v>
      </c>
      <c r="I71" s="3">
        <v>0.1875</v>
      </c>
      <c r="J71" s="3">
        <v>377.45</v>
      </c>
      <c r="K71" s="2">
        <v>2.0825688227100736E-3</v>
      </c>
    </row>
    <row r="72" spans="1:11" x14ac:dyDescent="0.25">
      <c r="A72" t="s">
        <v>19</v>
      </c>
      <c r="B72" s="1">
        <v>45383</v>
      </c>
      <c r="C72" s="4">
        <f>YEAR(SalesData[[#This Row],[Date]])</f>
        <v>2024</v>
      </c>
      <c r="D72" s="4" t="str">
        <f>TEXT(SalesData[[#This Row],[Date]],"mmm")</f>
        <v>Apr</v>
      </c>
      <c r="E72">
        <v>26</v>
      </c>
      <c r="F72">
        <v>6</v>
      </c>
      <c r="G72">
        <v>231.59</v>
      </c>
      <c r="H72">
        <v>2</v>
      </c>
      <c r="I72" s="3">
        <v>0.33333333333333331</v>
      </c>
      <c r="J72" s="3">
        <v>3988.15</v>
      </c>
      <c r="K72" s="2">
        <v>0.52780610719450449</v>
      </c>
    </row>
    <row r="73" spans="1:11" x14ac:dyDescent="0.25">
      <c r="A73" t="s">
        <v>20</v>
      </c>
      <c r="B73" s="1">
        <v>45383</v>
      </c>
      <c r="C73" s="4">
        <f>YEAR(SalesData[[#This Row],[Date]])</f>
        <v>2024</v>
      </c>
      <c r="D73" s="4" t="str">
        <f>TEXT(SalesData[[#This Row],[Date]],"mmm")</f>
        <v>Apr</v>
      </c>
      <c r="E73">
        <v>103</v>
      </c>
      <c r="F73">
        <v>6</v>
      </c>
      <c r="G73">
        <v>165.74</v>
      </c>
      <c r="H73">
        <v>6</v>
      </c>
      <c r="I73" s="3">
        <v>1</v>
      </c>
      <c r="J73" s="3">
        <v>1169.3800000000001</v>
      </c>
      <c r="K73" s="2">
        <v>0.74899478738984437</v>
      </c>
    </row>
    <row r="74" spans="1:11" x14ac:dyDescent="0.25">
      <c r="A74" t="s">
        <v>21</v>
      </c>
      <c r="B74" s="1">
        <v>45383</v>
      </c>
      <c r="C74" s="4">
        <f>YEAR(SalesData[[#This Row],[Date]])</f>
        <v>2024</v>
      </c>
      <c r="D74" s="4" t="str">
        <f>TEXT(SalesData[[#This Row],[Date]],"mmm")</f>
        <v>Apr</v>
      </c>
      <c r="E74">
        <v>100</v>
      </c>
      <c r="F74">
        <v>7</v>
      </c>
      <c r="G74">
        <v>82.62</v>
      </c>
      <c r="H74">
        <v>6</v>
      </c>
      <c r="I74" s="3">
        <v>0.8571428571428571</v>
      </c>
      <c r="J74" s="3">
        <v>4085.91</v>
      </c>
      <c r="K74" s="2">
        <v>1.1992591327464996E-2</v>
      </c>
    </row>
    <row r="75" spans="1:11" x14ac:dyDescent="0.25">
      <c r="A75" t="s">
        <v>22</v>
      </c>
      <c r="B75" s="1">
        <v>45383</v>
      </c>
      <c r="C75" s="4">
        <f>YEAR(SalesData[[#This Row],[Date]])</f>
        <v>2024</v>
      </c>
      <c r="D75" s="4" t="str">
        <f>TEXT(SalesData[[#This Row],[Date]],"mmm")</f>
        <v>Apr</v>
      </c>
      <c r="E75">
        <v>104</v>
      </c>
      <c r="F75">
        <v>22</v>
      </c>
      <c r="G75">
        <v>190.87</v>
      </c>
      <c r="H75">
        <v>4</v>
      </c>
      <c r="I75" s="3">
        <v>0.18181818181818182</v>
      </c>
      <c r="J75" s="3">
        <v>433.41</v>
      </c>
      <c r="K75" s="2">
        <v>0.40524060658388794</v>
      </c>
    </row>
    <row r="76" spans="1:11" x14ac:dyDescent="0.25">
      <c r="A76" t="s">
        <v>23</v>
      </c>
      <c r="B76" s="1">
        <v>45383</v>
      </c>
      <c r="C76" s="4">
        <f>YEAR(SalesData[[#This Row],[Date]])</f>
        <v>2024</v>
      </c>
      <c r="D76" s="4" t="str">
        <f>TEXT(SalesData[[#This Row],[Date]],"mmm")</f>
        <v>Apr</v>
      </c>
      <c r="E76">
        <v>63</v>
      </c>
      <c r="F76">
        <v>11</v>
      </c>
      <c r="G76">
        <v>554.51</v>
      </c>
      <c r="H76">
        <v>1</v>
      </c>
      <c r="I76" s="3">
        <v>9.0909090909090912E-2</v>
      </c>
      <c r="J76" s="3">
        <v>1138.51</v>
      </c>
      <c r="K76" s="2">
        <v>0.79762401755318935</v>
      </c>
    </row>
    <row r="77" spans="1:11" x14ac:dyDescent="0.25">
      <c r="A77" t="s">
        <v>24</v>
      </c>
      <c r="B77" s="1">
        <v>45383</v>
      </c>
      <c r="C77" s="4">
        <f>YEAR(SalesData[[#This Row],[Date]])</f>
        <v>2024</v>
      </c>
      <c r="D77" s="4" t="str">
        <f>TEXT(SalesData[[#This Row],[Date]],"mmm")</f>
        <v>Apr</v>
      </c>
      <c r="E77">
        <v>22</v>
      </c>
      <c r="F77">
        <v>13</v>
      </c>
      <c r="G77">
        <v>302.49</v>
      </c>
      <c r="H77">
        <v>2</v>
      </c>
      <c r="I77" s="3">
        <v>0.15384615384615385</v>
      </c>
      <c r="J77" s="3">
        <v>1591.45</v>
      </c>
      <c r="K77" s="2">
        <v>0.22312664797639092</v>
      </c>
    </row>
    <row r="78" spans="1:11" x14ac:dyDescent="0.25">
      <c r="A78" t="s">
        <v>25</v>
      </c>
      <c r="B78" s="1">
        <v>45383</v>
      </c>
      <c r="C78" s="4">
        <f>YEAR(SalesData[[#This Row],[Date]])</f>
        <v>2024</v>
      </c>
      <c r="D78" s="4" t="str">
        <f>TEXT(SalesData[[#This Row],[Date]],"mmm")</f>
        <v>Apr</v>
      </c>
      <c r="E78">
        <v>77</v>
      </c>
      <c r="F78">
        <v>8</v>
      </c>
      <c r="G78">
        <v>173.88</v>
      </c>
      <c r="H78">
        <v>6</v>
      </c>
      <c r="I78" s="3">
        <v>0.75</v>
      </c>
      <c r="J78" s="3">
        <v>462.44</v>
      </c>
      <c r="K78" s="2">
        <v>0.54298366331126791</v>
      </c>
    </row>
    <row r="79" spans="1:11" x14ac:dyDescent="0.25">
      <c r="A79" t="s">
        <v>26</v>
      </c>
      <c r="B79" s="1">
        <v>45383</v>
      </c>
      <c r="C79" s="4">
        <f>YEAR(SalesData[[#This Row],[Date]])</f>
        <v>2024</v>
      </c>
      <c r="D79" s="4" t="str">
        <f>TEXT(SalesData[[#This Row],[Date]],"mmm")</f>
        <v>Apr</v>
      </c>
      <c r="E79">
        <v>90</v>
      </c>
      <c r="F79">
        <v>17</v>
      </c>
      <c r="G79">
        <v>366.84</v>
      </c>
      <c r="H79">
        <v>0</v>
      </c>
      <c r="I79" s="3">
        <v>0</v>
      </c>
      <c r="J79" s="3">
        <v>3153.56</v>
      </c>
      <c r="K79" s="2">
        <v>0.69456270484035887</v>
      </c>
    </row>
    <row r="80" spans="1:11" x14ac:dyDescent="0.25">
      <c r="A80" t="s">
        <v>27</v>
      </c>
      <c r="B80" s="1">
        <v>45383</v>
      </c>
      <c r="C80" s="4">
        <f>YEAR(SalesData[[#This Row],[Date]])</f>
        <v>2024</v>
      </c>
      <c r="D80" s="4" t="str">
        <f>TEXT(SalesData[[#This Row],[Date]],"mmm")</f>
        <v>Apr</v>
      </c>
      <c r="E80">
        <v>33</v>
      </c>
      <c r="F80">
        <v>9</v>
      </c>
      <c r="G80">
        <v>578.41999999999996</v>
      </c>
      <c r="H80">
        <v>4</v>
      </c>
      <c r="I80" s="3">
        <v>0.44444444444444442</v>
      </c>
      <c r="J80" s="3">
        <v>229.72</v>
      </c>
      <c r="K80" s="2">
        <v>0.97136932498322726</v>
      </c>
    </row>
    <row r="81" spans="1:11" x14ac:dyDescent="0.25">
      <c r="A81" t="s">
        <v>28</v>
      </c>
      <c r="B81" s="1">
        <v>45383</v>
      </c>
      <c r="C81" s="4">
        <f>YEAR(SalesData[[#This Row],[Date]])</f>
        <v>2024</v>
      </c>
      <c r="D81" s="4" t="str">
        <f>TEXT(SalesData[[#This Row],[Date]],"mmm")</f>
        <v>Apr</v>
      </c>
      <c r="E81">
        <v>42</v>
      </c>
      <c r="F81">
        <v>14</v>
      </c>
      <c r="G81">
        <v>321.29000000000002</v>
      </c>
      <c r="H81">
        <v>7</v>
      </c>
      <c r="I81" s="3">
        <v>0.5</v>
      </c>
      <c r="J81" s="3">
        <v>4298.2700000000004</v>
      </c>
      <c r="K81" s="2">
        <v>7.5845187714748463E-2</v>
      </c>
    </row>
    <row r="82" spans="1:11" x14ac:dyDescent="0.25">
      <c r="A82" t="s">
        <v>9</v>
      </c>
      <c r="B82" s="1">
        <v>45413</v>
      </c>
      <c r="C82" s="4">
        <f>YEAR(SalesData[[#This Row],[Date]])</f>
        <v>2024</v>
      </c>
      <c r="D82" s="4" t="str">
        <f>TEXT(SalesData[[#This Row],[Date]],"mmm")</f>
        <v>May</v>
      </c>
      <c r="E82">
        <v>69</v>
      </c>
      <c r="F82">
        <v>16</v>
      </c>
      <c r="G82">
        <v>299.22000000000003</v>
      </c>
      <c r="H82">
        <v>6</v>
      </c>
      <c r="I82" s="3">
        <v>0.375</v>
      </c>
      <c r="J82" s="3">
        <v>3716.14</v>
      </c>
      <c r="K82" s="2">
        <v>0.78141427805009689</v>
      </c>
    </row>
    <row r="83" spans="1:11" x14ac:dyDescent="0.25">
      <c r="A83" t="s">
        <v>10</v>
      </c>
      <c r="B83" s="1">
        <v>45413</v>
      </c>
      <c r="C83" s="4">
        <f>YEAR(SalesData[[#This Row],[Date]])</f>
        <v>2024</v>
      </c>
      <c r="D83" s="4" t="str">
        <f>TEXT(SalesData[[#This Row],[Date]],"mmm")</f>
        <v>May</v>
      </c>
      <c r="E83">
        <v>68</v>
      </c>
      <c r="F83">
        <v>11</v>
      </c>
      <c r="G83">
        <v>345.62</v>
      </c>
      <c r="H83">
        <v>4</v>
      </c>
      <c r="I83" s="3">
        <v>0.36363636363636365</v>
      </c>
      <c r="J83" s="3">
        <v>3558.13</v>
      </c>
      <c r="K83" s="2">
        <v>0.87711705281854446</v>
      </c>
    </row>
    <row r="84" spans="1:11" x14ac:dyDescent="0.25">
      <c r="A84" t="s">
        <v>11</v>
      </c>
      <c r="B84" s="1">
        <v>45413</v>
      </c>
      <c r="C84" s="4">
        <f>YEAR(SalesData[[#This Row],[Date]])</f>
        <v>2024</v>
      </c>
      <c r="D84" s="4" t="str">
        <f>TEXT(SalesData[[#This Row],[Date]],"mmm")</f>
        <v>May</v>
      </c>
      <c r="E84">
        <v>45</v>
      </c>
      <c r="F84">
        <v>17</v>
      </c>
      <c r="G84">
        <v>416.96</v>
      </c>
      <c r="H84">
        <v>3</v>
      </c>
      <c r="I84" s="3">
        <v>0.17647058823529413</v>
      </c>
      <c r="J84" s="3">
        <v>3327.07</v>
      </c>
      <c r="K84" s="2">
        <v>0.80623156378737371</v>
      </c>
    </row>
    <row r="85" spans="1:11" x14ac:dyDescent="0.25">
      <c r="A85" t="s">
        <v>12</v>
      </c>
      <c r="B85" s="1">
        <v>45413</v>
      </c>
      <c r="C85" s="4">
        <f>YEAR(SalesData[[#This Row],[Date]])</f>
        <v>2024</v>
      </c>
      <c r="D85" s="4" t="str">
        <f>TEXT(SalesData[[#This Row],[Date]],"mmm")</f>
        <v>May</v>
      </c>
      <c r="E85">
        <v>17</v>
      </c>
      <c r="F85">
        <v>8</v>
      </c>
      <c r="G85">
        <v>72.05</v>
      </c>
      <c r="H85">
        <v>3</v>
      </c>
      <c r="I85" s="3">
        <v>0.375</v>
      </c>
      <c r="J85" s="3">
        <v>1672.82</v>
      </c>
      <c r="K85" s="2">
        <v>2.8974040560997838E-2</v>
      </c>
    </row>
    <row r="86" spans="1:11" x14ac:dyDescent="0.25">
      <c r="A86" t="s">
        <v>13</v>
      </c>
      <c r="B86" s="1">
        <v>45413</v>
      </c>
      <c r="C86" s="4">
        <f>YEAR(SalesData[[#This Row],[Date]])</f>
        <v>2024</v>
      </c>
      <c r="D86" s="4" t="str">
        <f>TEXT(SalesData[[#This Row],[Date]],"mmm")</f>
        <v>May</v>
      </c>
      <c r="E86">
        <v>85</v>
      </c>
      <c r="F86">
        <v>13</v>
      </c>
      <c r="G86">
        <v>475.61</v>
      </c>
      <c r="H86">
        <v>5</v>
      </c>
      <c r="I86" s="3">
        <v>0.38461538461538464</v>
      </c>
      <c r="J86" s="3">
        <v>939.32</v>
      </c>
      <c r="K86" s="2">
        <v>0.41610167260125175</v>
      </c>
    </row>
    <row r="87" spans="1:11" x14ac:dyDescent="0.25">
      <c r="A87" t="s">
        <v>14</v>
      </c>
      <c r="B87" s="1">
        <v>45413</v>
      </c>
      <c r="C87" s="4">
        <f>YEAR(SalesData[[#This Row],[Date]])</f>
        <v>2024</v>
      </c>
      <c r="D87" s="4" t="str">
        <f>TEXT(SalesData[[#This Row],[Date]],"mmm")</f>
        <v>May</v>
      </c>
      <c r="E87">
        <v>49</v>
      </c>
      <c r="F87">
        <v>7</v>
      </c>
      <c r="G87">
        <v>469.53</v>
      </c>
      <c r="H87">
        <v>3</v>
      </c>
      <c r="I87" s="3">
        <v>0.42857142857142855</v>
      </c>
      <c r="J87" s="3">
        <v>3623.32</v>
      </c>
      <c r="K87" s="2">
        <v>3.3289227918539277E-2</v>
      </c>
    </row>
    <row r="88" spans="1:11" x14ac:dyDescent="0.25">
      <c r="A88" t="s">
        <v>15</v>
      </c>
      <c r="B88" s="1">
        <v>45413</v>
      </c>
      <c r="C88" s="4">
        <f>YEAR(SalesData[[#This Row],[Date]])</f>
        <v>2024</v>
      </c>
      <c r="D88" s="4" t="str">
        <f>TEXT(SalesData[[#This Row],[Date]],"mmm")</f>
        <v>May</v>
      </c>
      <c r="E88">
        <v>66</v>
      </c>
      <c r="F88">
        <v>15</v>
      </c>
      <c r="G88">
        <v>333.1</v>
      </c>
      <c r="H88">
        <v>2</v>
      </c>
      <c r="I88" s="3">
        <v>0.13333333333333333</v>
      </c>
      <c r="J88" s="3">
        <v>2631.58</v>
      </c>
      <c r="K88" s="2">
        <v>0.66145041103078195</v>
      </c>
    </row>
    <row r="89" spans="1:11" x14ac:dyDescent="0.25">
      <c r="A89" t="s">
        <v>16</v>
      </c>
      <c r="B89" s="1">
        <v>45413</v>
      </c>
      <c r="C89" s="4">
        <f>YEAR(SalesData[[#This Row],[Date]])</f>
        <v>2024</v>
      </c>
      <c r="D89" s="4" t="str">
        <f>TEXT(SalesData[[#This Row],[Date]],"mmm")</f>
        <v>May</v>
      </c>
      <c r="E89">
        <v>31</v>
      </c>
      <c r="F89">
        <v>20</v>
      </c>
      <c r="G89">
        <v>400.8</v>
      </c>
      <c r="H89">
        <v>8</v>
      </c>
      <c r="I89" s="3">
        <v>0.4</v>
      </c>
      <c r="J89" s="3">
        <v>1294.3599999999999</v>
      </c>
      <c r="K89" s="2">
        <v>0.87329404378046382</v>
      </c>
    </row>
    <row r="90" spans="1:11" x14ac:dyDescent="0.25">
      <c r="A90" t="s">
        <v>17</v>
      </c>
      <c r="B90" s="1">
        <v>45413</v>
      </c>
      <c r="C90" s="4">
        <f>YEAR(SalesData[[#This Row],[Date]])</f>
        <v>2024</v>
      </c>
      <c r="D90" s="4" t="str">
        <f>TEXT(SalesData[[#This Row],[Date]],"mmm")</f>
        <v>May</v>
      </c>
      <c r="E90">
        <v>75</v>
      </c>
      <c r="F90">
        <v>19</v>
      </c>
      <c r="G90">
        <v>343.28</v>
      </c>
      <c r="H90">
        <v>9</v>
      </c>
      <c r="I90" s="3">
        <v>0.47368421052631576</v>
      </c>
      <c r="J90" s="3">
        <v>899.46</v>
      </c>
      <c r="K90" s="2">
        <v>6.403416741862511E-5</v>
      </c>
    </row>
    <row r="91" spans="1:11" x14ac:dyDescent="0.25">
      <c r="A91" t="s">
        <v>18</v>
      </c>
      <c r="B91" s="1">
        <v>45413</v>
      </c>
      <c r="C91" s="4">
        <f>YEAR(SalesData[[#This Row],[Date]])</f>
        <v>2024</v>
      </c>
      <c r="D91" s="4" t="str">
        <f>TEXT(SalesData[[#This Row],[Date]],"mmm")</f>
        <v>May</v>
      </c>
      <c r="E91">
        <v>74</v>
      </c>
      <c r="F91">
        <v>20</v>
      </c>
      <c r="G91">
        <v>623.33000000000004</v>
      </c>
      <c r="H91">
        <v>2</v>
      </c>
      <c r="I91" s="3">
        <v>0.1</v>
      </c>
      <c r="J91" s="3">
        <v>359.97</v>
      </c>
      <c r="K91" s="2">
        <v>0.87340376779849982</v>
      </c>
    </row>
    <row r="92" spans="1:11" x14ac:dyDescent="0.25">
      <c r="A92" t="s">
        <v>19</v>
      </c>
      <c r="B92" s="1">
        <v>45413</v>
      </c>
      <c r="C92" s="4">
        <f>YEAR(SalesData[[#This Row],[Date]])</f>
        <v>2024</v>
      </c>
      <c r="D92" s="4" t="str">
        <f>TEXT(SalesData[[#This Row],[Date]],"mmm")</f>
        <v>May</v>
      </c>
      <c r="E92">
        <v>26</v>
      </c>
      <c r="F92">
        <v>7</v>
      </c>
      <c r="G92">
        <v>200.45</v>
      </c>
      <c r="H92">
        <v>1</v>
      </c>
      <c r="I92" s="3">
        <v>0.14285714285714285</v>
      </c>
      <c r="J92" s="3">
        <v>3797.35</v>
      </c>
      <c r="K92" s="2">
        <v>0.13856699178655785</v>
      </c>
    </row>
    <row r="93" spans="1:11" x14ac:dyDescent="0.25">
      <c r="A93" t="s">
        <v>20</v>
      </c>
      <c r="B93" s="1">
        <v>45413</v>
      </c>
      <c r="C93" s="4">
        <f>YEAR(SalesData[[#This Row],[Date]])</f>
        <v>2024</v>
      </c>
      <c r="D93" s="4" t="str">
        <f>TEXT(SalesData[[#This Row],[Date]],"mmm")</f>
        <v>May</v>
      </c>
      <c r="E93">
        <v>97</v>
      </c>
      <c r="F93">
        <v>5</v>
      </c>
      <c r="G93">
        <v>185.62</v>
      </c>
      <c r="H93">
        <v>4</v>
      </c>
      <c r="I93" s="3">
        <v>0.8</v>
      </c>
      <c r="J93" s="3">
        <v>1282.81</v>
      </c>
      <c r="K93" s="2">
        <v>0.43555532108454242</v>
      </c>
    </row>
    <row r="94" spans="1:11" x14ac:dyDescent="0.25">
      <c r="A94" t="s">
        <v>21</v>
      </c>
      <c r="B94" s="1">
        <v>45413</v>
      </c>
      <c r="C94" s="4">
        <f>YEAR(SalesData[[#This Row],[Date]])</f>
        <v>2024</v>
      </c>
      <c r="D94" s="4" t="str">
        <f>TEXT(SalesData[[#This Row],[Date]],"mmm")</f>
        <v>May</v>
      </c>
      <c r="E94">
        <v>91</v>
      </c>
      <c r="F94">
        <v>7</v>
      </c>
      <c r="G94">
        <v>89.39</v>
      </c>
      <c r="H94">
        <v>6</v>
      </c>
      <c r="I94" s="3">
        <v>0.8571428571428571</v>
      </c>
      <c r="J94" s="3">
        <v>3971.59</v>
      </c>
      <c r="K94" s="2">
        <v>0.67672818619800201</v>
      </c>
    </row>
    <row r="95" spans="1:11" x14ac:dyDescent="0.25">
      <c r="A95" t="s">
        <v>22</v>
      </c>
      <c r="B95" s="1">
        <v>45413</v>
      </c>
      <c r="C95" s="4">
        <f>YEAR(SalesData[[#This Row],[Date]])</f>
        <v>2024</v>
      </c>
      <c r="D95" s="4" t="str">
        <f>TEXT(SalesData[[#This Row],[Date]],"mmm")</f>
        <v>May</v>
      </c>
      <c r="E95">
        <v>91</v>
      </c>
      <c r="F95">
        <v>15</v>
      </c>
      <c r="G95">
        <v>173.03</v>
      </c>
      <c r="H95">
        <v>4</v>
      </c>
      <c r="I95" s="3">
        <v>0.26666666666666666</v>
      </c>
      <c r="J95" s="3">
        <v>386.08</v>
      </c>
      <c r="K95" s="2">
        <v>0.15096930668149255</v>
      </c>
    </row>
    <row r="96" spans="1:11" x14ac:dyDescent="0.25">
      <c r="A96" t="s">
        <v>23</v>
      </c>
      <c r="B96" s="1">
        <v>45413</v>
      </c>
      <c r="C96" s="4">
        <f>YEAR(SalesData[[#This Row],[Date]])</f>
        <v>2024</v>
      </c>
      <c r="D96" s="4" t="str">
        <f>TEXT(SalesData[[#This Row],[Date]],"mmm")</f>
        <v>May</v>
      </c>
      <c r="E96">
        <v>67</v>
      </c>
      <c r="F96">
        <v>15</v>
      </c>
      <c r="G96">
        <v>499.68</v>
      </c>
      <c r="H96">
        <v>0</v>
      </c>
      <c r="I96" s="3">
        <v>0</v>
      </c>
      <c r="J96" s="3">
        <v>1287.1300000000001</v>
      </c>
      <c r="K96" s="2">
        <v>0.8034390073138834</v>
      </c>
    </row>
    <row r="97" spans="1:11" x14ac:dyDescent="0.25">
      <c r="A97" t="s">
        <v>24</v>
      </c>
      <c r="B97" s="1">
        <v>45413</v>
      </c>
      <c r="C97" s="4">
        <f>YEAR(SalesData[[#This Row],[Date]])</f>
        <v>2024</v>
      </c>
      <c r="D97" s="4" t="str">
        <f>TEXT(SalesData[[#This Row],[Date]],"mmm")</f>
        <v>May</v>
      </c>
      <c r="E97">
        <v>19</v>
      </c>
      <c r="F97">
        <v>13</v>
      </c>
      <c r="G97">
        <v>316.23</v>
      </c>
      <c r="H97">
        <v>1</v>
      </c>
      <c r="I97" s="3">
        <v>7.6923076923076927E-2</v>
      </c>
      <c r="J97" s="3">
        <v>1598.49</v>
      </c>
      <c r="K97" s="2">
        <v>0.18302020892161464</v>
      </c>
    </row>
    <row r="98" spans="1:11" x14ac:dyDescent="0.25">
      <c r="A98" t="s">
        <v>25</v>
      </c>
      <c r="B98" s="1">
        <v>45413</v>
      </c>
      <c r="C98" s="4">
        <f>YEAR(SalesData[[#This Row],[Date]])</f>
        <v>2024</v>
      </c>
      <c r="D98" s="4" t="str">
        <f>TEXT(SalesData[[#This Row],[Date]],"mmm")</f>
        <v>May</v>
      </c>
      <c r="E98">
        <v>73</v>
      </c>
      <c r="F98">
        <v>8</v>
      </c>
      <c r="G98">
        <v>175.52</v>
      </c>
      <c r="H98">
        <v>7</v>
      </c>
      <c r="I98" s="3">
        <v>0.875</v>
      </c>
      <c r="J98" s="3">
        <v>455.32</v>
      </c>
      <c r="K98" s="2">
        <v>0.57879953909645021</v>
      </c>
    </row>
    <row r="99" spans="1:11" x14ac:dyDescent="0.25">
      <c r="A99" t="s">
        <v>26</v>
      </c>
      <c r="B99" s="1">
        <v>45413</v>
      </c>
      <c r="C99" s="4">
        <f>YEAR(SalesData[[#This Row],[Date]])</f>
        <v>2024</v>
      </c>
      <c r="D99" s="4" t="str">
        <f>TEXT(SalesData[[#This Row],[Date]],"mmm")</f>
        <v>May</v>
      </c>
      <c r="E99">
        <v>111</v>
      </c>
      <c r="F99">
        <v>13</v>
      </c>
      <c r="G99">
        <v>358.31</v>
      </c>
      <c r="H99">
        <v>0</v>
      </c>
      <c r="I99" s="3">
        <v>0</v>
      </c>
      <c r="J99" s="3">
        <v>2811.77</v>
      </c>
      <c r="K99" s="2">
        <v>0.23930308689790014</v>
      </c>
    </row>
    <row r="100" spans="1:11" x14ac:dyDescent="0.25">
      <c r="A100" t="s">
        <v>27</v>
      </c>
      <c r="B100" s="1">
        <v>45413</v>
      </c>
      <c r="C100" s="4">
        <f>YEAR(SalesData[[#This Row],[Date]])</f>
        <v>2024</v>
      </c>
      <c r="D100" s="4" t="str">
        <f>TEXT(SalesData[[#This Row],[Date]],"mmm")</f>
        <v>May</v>
      </c>
      <c r="E100">
        <v>38</v>
      </c>
      <c r="F100">
        <v>12</v>
      </c>
      <c r="G100">
        <v>556.33000000000004</v>
      </c>
      <c r="H100">
        <v>4</v>
      </c>
      <c r="I100" s="3">
        <v>0.33333333333333331</v>
      </c>
      <c r="J100" s="3">
        <v>241.08</v>
      </c>
      <c r="K100" s="2">
        <v>0.91589493522011933</v>
      </c>
    </row>
    <row r="101" spans="1:11" x14ac:dyDescent="0.25">
      <c r="A101" t="s">
        <v>28</v>
      </c>
      <c r="B101" s="1">
        <v>45413</v>
      </c>
      <c r="C101" s="4">
        <f>YEAR(SalesData[[#This Row],[Date]])</f>
        <v>2024</v>
      </c>
      <c r="D101" s="4" t="str">
        <f>TEXT(SalesData[[#This Row],[Date]],"mmm")</f>
        <v>May</v>
      </c>
      <c r="E101">
        <v>33</v>
      </c>
      <c r="F101">
        <v>17</v>
      </c>
      <c r="G101">
        <v>371.65</v>
      </c>
      <c r="H101">
        <v>9</v>
      </c>
      <c r="I101" s="3">
        <v>0.52941176470588236</v>
      </c>
      <c r="J101" s="3">
        <v>4068.75</v>
      </c>
      <c r="K101" s="2">
        <v>0.4495074562661171</v>
      </c>
    </row>
    <row r="102" spans="1:11" x14ac:dyDescent="0.25">
      <c r="A102" t="s">
        <v>9</v>
      </c>
      <c r="B102" s="1">
        <v>45444</v>
      </c>
      <c r="C102" s="4">
        <f>YEAR(SalesData[[#This Row],[Date]])</f>
        <v>2024</v>
      </c>
      <c r="D102" s="4" t="str">
        <f>TEXT(SalesData[[#This Row],[Date]],"mmm")</f>
        <v>Jun</v>
      </c>
      <c r="E102">
        <v>59</v>
      </c>
      <c r="F102">
        <v>16</v>
      </c>
      <c r="G102">
        <v>359.47</v>
      </c>
      <c r="H102">
        <v>7</v>
      </c>
      <c r="I102" s="3">
        <v>0.4375</v>
      </c>
      <c r="J102" s="3">
        <v>3958.94</v>
      </c>
      <c r="K102" s="2">
        <v>0.69316517134690725</v>
      </c>
    </row>
    <row r="103" spans="1:11" x14ac:dyDescent="0.25">
      <c r="A103" t="s">
        <v>10</v>
      </c>
      <c r="B103" s="1">
        <v>45444</v>
      </c>
      <c r="C103" s="4">
        <f>YEAR(SalesData[[#This Row],[Date]])</f>
        <v>2024</v>
      </c>
      <c r="D103" s="4" t="str">
        <f>TEXT(SalesData[[#This Row],[Date]],"mmm")</f>
        <v>Jun</v>
      </c>
      <c r="E103">
        <v>71</v>
      </c>
      <c r="F103">
        <v>11</v>
      </c>
      <c r="G103">
        <v>379.33</v>
      </c>
      <c r="H103">
        <v>4</v>
      </c>
      <c r="I103" s="3">
        <v>0.36363636363636365</v>
      </c>
      <c r="J103" s="3">
        <v>4003.52</v>
      </c>
      <c r="K103" s="2">
        <v>0.87721679874340641</v>
      </c>
    </row>
    <row r="104" spans="1:11" x14ac:dyDescent="0.25">
      <c r="A104" t="s">
        <v>11</v>
      </c>
      <c r="B104" s="1">
        <v>45444</v>
      </c>
      <c r="C104" s="4">
        <f>YEAR(SalesData[[#This Row],[Date]])</f>
        <v>2024</v>
      </c>
      <c r="D104" s="4" t="str">
        <f>TEXT(SalesData[[#This Row],[Date]],"mmm")</f>
        <v>Jun</v>
      </c>
      <c r="E104">
        <v>48</v>
      </c>
      <c r="F104">
        <v>14</v>
      </c>
      <c r="G104">
        <v>383.94</v>
      </c>
      <c r="H104">
        <v>3</v>
      </c>
      <c r="I104" s="3">
        <v>0.21428571428571427</v>
      </c>
      <c r="J104" s="3">
        <v>3173.36</v>
      </c>
      <c r="K104" s="2">
        <v>0.69764068183366434</v>
      </c>
    </row>
    <row r="105" spans="1:11" x14ac:dyDescent="0.25">
      <c r="A105" t="s">
        <v>12</v>
      </c>
      <c r="B105" s="1">
        <v>45444</v>
      </c>
      <c r="C105" s="4">
        <f>YEAR(SalesData[[#This Row],[Date]])</f>
        <v>2024</v>
      </c>
      <c r="D105" s="4" t="str">
        <f>TEXT(SalesData[[#This Row],[Date]],"mmm")</f>
        <v>Jun</v>
      </c>
      <c r="E105">
        <v>18</v>
      </c>
      <c r="F105">
        <v>7</v>
      </c>
      <c r="G105">
        <v>85.32</v>
      </c>
      <c r="H105">
        <v>3</v>
      </c>
      <c r="I105" s="3">
        <v>0.42857142857142855</v>
      </c>
      <c r="J105" s="3">
        <v>1431.69</v>
      </c>
      <c r="K105" s="2">
        <v>0.92152762494291962</v>
      </c>
    </row>
    <row r="106" spans="1:11" x14ac:dyDescent="0.25">
      <c r="A106" t="s">
        <v>13</v>
      </c>
      <c r="B106" s="1">
        <v>45444</v>
      </c>
      <c r="C106" s="4">
        <f>YEAR(SalesData[[#This Row],[Date]])</f>
        <v>2024</v>
      </c>
      <c r="D106" s="4" t="str">
        <f>TEXT(SalesData[[#This Row],[Date]],"mmm")</f>
        <v>Jun</v>
      </c>
      <c r="E106">
        <v>93</v>
      </c>
      <c r="F106">
        <v>14</v>
      </c>
      <c r="G106">
        <v>466.81</v>
      </c>
      <c r="H106">
        <v>5</v>
      </c>
      <c r="I106" s="3">
        <v>0.35714285714285715</v>
      </c>
      <c r="J106" s="3">
        <v>988.98</v>
      </c>
      <c r="K106" s="2">
        <v>4.1645774009183456E-2</v>
      </c>
    </row>
    <row r="107" spans="1:11" x14ac:dyDescent="0.25">
      <c r="A107" t="s">
        <v>14</v>
      </c>
      <c r="B107" s="1">
        <v>45444</v>
      </c>
      <c r="C107" s="4">
        <f>YEAR(SalesData[[#This Row],[Date]])</f>
        <v>2024</v>
      </c>
      <c r="D107" s="4" t="str">
        <f>TEXT(SalesData[[#This Row],[Date]],"mmm")</f>
        <v>Jun</v>
      </c>
      <c r="E107">
        <v>49</v>
      </c>
      <c r="F107">
        <v>7</v>
      </c>
      <c r="G107">
        <v>512.88</v>
      </c>
      <c r="H107">
        <v>2</v>
      </c>
      <c r="I107" s="3">
        <v>0.2857142857142857</v>
      </c>
      <c r="J107" s="3">
        <v>3545.66</v>
      </c>
      <c r="K107" s="2">
        <v>0.17656688277635624</v>
      </c>
    </row>
    <row r="108" spans="1:11" x14ac:dyDescent="0.25">
      <c r="A108" t="s">
        <v>15</v>
      </c>
      <c r="B108" s="1">
        <v>45444</v>
      </c>
      <c r="C108" s="4">
        <f>YEAR(SalesData[[#This Row],[Date]])</f>
        <v>2024</v>
      </c>
      <c r="D108" s="4" t="str">
        <f>TEXT(SalesData[[#This Row],[Date]],"mmm")</f>
        <v>Jun</v>
      </c>
      <c r="E108">
        <v>85</v>
      </c>
      <c r="F108">
        <v>17</v>
      </c>
      <c r="G108">
        <v>324.56</v>
      </c>
      <c r="H108">
        <v>3</v>
      </c>
      <c r="I108" s="3">
        <v>0.17647058823529413</v>
      </c>
      <c r="J108" s="3">
        <v>2420.5300000000002</v>
      </c>
      <c r="K108" s="2">
        <v>0.66834159756534983</v>
      </c>
    </row>
    <row r="109" spans="1:11" x14ac:dyDescent="0.25">
      <c r="A109" t="s">
        <v>16</v>
      </c>
      <c r="B109" s="1">
        <v>45444</v>
      </c>
      <c r="C109" s="4">
        <f>YEAR(SalesData[[#This Row],[Date]])</f>
        <v>2024</v>
      </c>
      <c r="D109" s="4" t="str">
        <f>TEXT(SalesData[[#This Row],[Date]],"mmm")</f>
        <v>Jun</v>
      </c>
      <c r="E109">
        <v>30</v>
      </c>
      <c r="F109">
        <v>16</v>
      </c>
      <c r="G109">
        <v>353.65</v>
      </c>
      <c r="H109">
        <v>9</v>
      </c>
      <c r="I109" s="3">
        <v>0.5625</v>
      </c>
      <c r="J109" s="3">
        <v>1213.5899999999999</v>
      </c>
      <c r="K109" s="2">
        <v>0.48175881388925168</v>
      </c>
    </row>
    <row r="110" spans="1:11" x14ac:dyDescent="0.25">
      <c r="A110" t="s">
        <v>17</v>
      </c>
      <c r="B110" s="1">
        <v>45444</v>
      </c>
      <c r="C110" s="4">
        <f>YEAR(SalesData[[#This Row],[Date]])</f>
        <v>2024</v>
      </c>
      <c r="D110" s="4" t="str">
        <f>TEXT(SalesData[[#This Row],[Date]],"mmm")</f>
        <v>Jun</v>
      </c>
      <c r="E110">
        <v>54</v>
      </c>
      <c r="F110">
        <v>16</v>
      </c>
      <c r="G110">
        <v>334.41</v>
      </c>
      <c r="H110">
        <v>9</v>
      </c>
      <c r="I110" s="3">
        <v>0.5625</v>
      </c>
      <c r="J110" s="3">
        <v>1056.98</v>
      </c>
      <c r="K110" s="2">
        <v>0.59780086961654388</v>
      </c>
    </row>
    <row r="111" spans="1:11" x14ac:dyDescent="0.25">
      <c r="A111" t="s">
        <v>18</v>
      </c>
      <c r="B111" s="1">
        <v>45444</v>
      </c>
      <c r="C111" s="4">
        <f>YEAR(SalesData[[#This Row],[Date]])</f>
        <v>2024</v>
      </c>
      <c r="D111" s="4" t="str">
        <f>TEXT(SalesData[[#This Row],[Date]],"mmm")</f>
        <v>Jun</v>
      </c>
      <c r="E111">
        <v>73</v>
      </c>
      <c r="F111">
        <v>21</v>
      </c>
      <c r="G111">
        <v>601.02</v>
      </c>
      <c r="H111">
        <v>2</v>
      </c>
      <c r="I111" s="3">
        <v>9.5238095238095233E-2</v>
      </c>
      <c r="J111" s="3">
        <v>364.56</v>
      </c>
      <c r="K111" s="2">
        <v>0.26881742303257705</v>
      </c>
    </row>
    <row r="112" spans="1:11" x14ac:dyDescent="0.25">
      <c r="A112" t="s">
        <v>19</v>
      </c>
      <c r="B112" s="1">
        <v>45444</v>
      </c>
      <c r="C112" s="4">
        <f>YEAR(SalesData[[#This Row],[Date]])</f>
        <v>2024</v>
      </c>
      <c r="D112" s="4" t="str">
        <f>TEXT(SalesData[[#This Row],[Date]],"mmm")</f>
        <v>Jun</v>
      </c>
      <c r="E112">
        <v>36</v>
      </c>
      <c r="F112">
        <v>9</v>
      </c>
      <c r="G112">
        <v>196.74</v>
      </c>
      <c r="H112">
        <v>1</v>
      </c>
      <c r="I112" s="3">
        <v>0.1111111111111111</v>
      </c>
      <c r="J112" s="3">
        <v>3760.57</v>
      </c>
      <c r="K112" s="2">
        <v>3.5728082925141513E-2</v>
      </c>
    </row>
    <row r="113" spans="1:11" x14ac:dyDescent="0.25">
      <c r="A113" t="s">
        <v>20</v>
      </c>
      <c r="B113" s="1">
        <v>45444</v>
      </c>
      <c r="C113" s="4">
        <f>YEAR(SalesData[[#This Row],[Date]])</f>
        <v>2024</v>
      </c>
      <c r="D113" s="4" t="str">
        <f>TEXT(SalesData[[#This Row],[Date]],"mmm")</f>
        <v>Jun</v>
      </c>
      <c r="E113">
        <v>100</v>
      </c>
      <c r="F113">
        <v>5</v>
      </c>
      <c r="G113">
        <v>153.87</v>
      </c>
      <c r="H113">
        <v>2</v>
      </c>
      <c r="I113" s="3">
        <v>0.4</v>
      </c>
      <c r="J113" s="3">
        <v>1190.24</v>
      </c>
      <c r="K113" s="2">
        <v>0.60361285621703564</v>
      </c>
    </row>
    <row r="114" spans="1:11" x14ac:dyDescent="0.25">
      <c r="A114" t="s">
        <v>21</v>
      </c>
      <c r="B114" s="1">
        <v>45444</v>
      </c>
      <c r="C114" s="4">
        <f>YEAR(SalesData[[#This Row],[Date]])</f>
        <v>2024</v>
      </c>
      <c r="D114" s="4" t="str">
        <f>TEXT(SalesData[[#This Row],[Date]],"mmm")</f>
        <v>Jun</v>
      </c>
      <c r="E114">
        <v>93</v>
      </c>
      <c r="F114">
        <v>5</v>
      </c>
      <c r="G114">
        <v>85.65</v>
      </c>
      <c r="H114">
        <v>5</v>
      </c>
      <c r="I114" s="3">
        <v>1</v>
      </c>
      <c r="J114" s="3">
        <v>3913.17</v>
      </c>
      <c r="K114" s="2">
        <v>0.14739976243283148</v>
      </c>
    </row>
    <row r="115" spans="1:11" x14ac:dyDescent="0.25">
      <c r="A115" t="s">
        <v>22</v>
      </c>
      <c r="B115" s="1">
        <v>45444</v>
      </c>
      <c r="C115" s="4">
        <f>YEAR(SalesData[[#This Row],[Date]])</f>
        <v>2024</v>
      </c>
      <c r="D115" s="4" t="str">
        <f>TEXT(SalesData[[#This Row],[Date]],"mmm")</f>
        <v>Jun</v>
      </c>
      <c r="E115">
        <v>88</v>
      </c>
      <c r="F115">
        <v>18</v>
      </c>
      <c r="G115">
        <v>181.21</v>
      </c>
      <c r="H115">
        <v>4</v>
      </c>
      <c r="I115" s="3">
        <v>0.22222222222222221</v>
      </c>
      <c r="J115" s="3">
        <v>377.13</v>
      </c>
      <c r="K115" s="2">
        <v>0.7122223471353033</v>
      </c>
    </row>
    <row r="116" spans="1:11" x14ac:dyDescent="0.25">
      <c r="A116" t="s">
        <v>23</v>
      </c>
      <c r="B116" s="1">
        <v>45444</v>
      </c>
      <c r="C116" s="4">
        <f>YEAR(SalesData[[#This Row],[Date]])</f>
        <v>2024</v>
      </c>
      <c r="D116" s="4" t="str">
        <f>TEXT(SalesData[[#This Row],[Date]],"mmm")</f>
        <v>Jun</v>
      </c>
      <c r="E116">
        <v>69</v>
      </c>
      <c r="F116">
        <v>16</v>
      </c>
      <c r="G116">
        <v>495.32</v>
      </c>
      <c r="H116">
        <v>0</v>
      </c>
      <c r="I116" s="3">
        <v>0</v>
      </c>
      <c r="J116" s="3">
        <v>1262.99</v>
      </c>
      <c r="K116" s="2">
        <v>0.35187599528253266</v>
      </c>
    </row>
    <row r="117" spans="1:11" x14ac:dyDescent="0.25">
      <c r="A117" t="s">
        <v>24</v>
      </c>
      <c r="B117" s="1">
        <v>45444</v>
      </c>
      <c r="C117" s="4">
        <f>YEAR(SalesData[[#This Row],[Date]])</f>
        <v>2024</v>
      </c>
      <c r="D117" s="4" t="str">
        <f>TEXT(SalesData[[#This Row],[Date]],"mmm")</f>
        <v>Jun</v>
      </c>
      <c r="E117">
        <v>21</v>
      </c>
      <c r="F117">
        <v>16</v>
      </c>
      <c r="G117">
        <v>315.91000000000003</v>
      </c>
      <c r="H117">
        <v>1</v>
      </c>
      <c r="I117" s="3">
        <v>6.25E-2</v>
      </c>
      <c r="J117" s="3">
        <v>1455.83</v>
      </c>
      <c r="K117" s="2">
        <v>0.65470769499832204</v>
      </c>
    </row>
    <row r="118" spans="1:11" x14ac:dyDescent="0.25">
      <c r="A118" t="s">
        <v>25</v>
      </c>
      <c r="B118" s="1">
        <v>45444</v>
      </c>
      <c r="C118" s="4">
        <f>YEAR(SalesData[[#This Row],[Date]])</f>
        <v>2024</v>
      </c>
      <c r="D118" s="4" t="str">
        <f>TEXT(SalesData[[#This Row],[Date]],"mmm")</f>
        <v>Jun</v>
      </c>
      <c r="E118">
        <v>58</v>
      </c>
      <c r="F118">
        <v>7</v>
      </c>
      <c r="G118">
        <v>173.24</v>
      </c>
      <c r="H118">
        <v>7</v>
      </c>
      <c r="I118" s="3">
        <v>1</v>
      </c>
      <c r="J118" s="3">
        <v>525.73</v>
      </c>
      <c r="K118" s="2">
        <v>0.99631554892691099</v>
      </c>
    </row>
    <row r="119" spans="1:11" x14ac:dyDescent="0.25">
      <c r="A119" t="s">
        <v>26</v>
      </c>
      <c r="B119" s="1">
        <v>45444</v>
      </c>
      <c r="C119" s="4">
        <f>YEAR(SalesData[[#This Row],[Date]])</f>
        <v>2024</v>
      </c>
      <c r="D119" s="4" t="str">
        <f>TEXT(SalesData[[#This Row],[Date]],"mmm")</f>
        <v>Jun</v>
      </c>
      <c r="E119">
        <v>114</v>
      </c>
      <c r="F119">
        <v>13</v>
      </c>
      <c r="G119">
        <v>364.35</v>
      </c>
      <c r="H119">
        <v>0</v>
      </c>
      <c r="I119" s="3">
        <v>0</v>
      </c>
      <c r="J119" s="3">
        <v>2988.28</v>
      </c>
      <c r="K119" s="2">
        <v>0.83604580160499287</v>
      </c>
    </row>
    <row r="120" spans="1:11" x14ac:dyDescent="0.25">
      <c r="A120" t="s">
        <v>27</v>
      </c>
      <c r="B120" s="1">
        <v>45444</v>
      </c>
      <c r="C120" s="4">
        <f>YEAR(SalesData[[#This Row],[Date]])</f>
        <v>2024</v>
      </c>
      <c r="D120" s="4" t="str">
        <f>TEXT(SalesData[[#This Row],[Date]],"mmm")</f>
        <v>Jun</v>
      </c>
      <c r="E120">
        <v>35</v>
      </c>
      <c r="F120">
        <v>12</v>
      </c>
      <c r="G120">
        <v>515.24</v>
      </c>
      <c r="H120">
        <v>5</v>
      </c>
      <c r="I120" s="3">
        <v>0.41666666666666669</v>
      </c>
      <c r="J120" s="3">
        <v>224.24</v>
      </c>
      <c r="K120" s="2">
        <v>0.88619625041633343</v>
      </c>
    </row>
    <row r="121" spans="1:11" x14ac:dyDescent="0.25">
      <c r="A121" t="s">
        <v>28</v>
      </c>
      <c r="B121" s="1">
        <v>45444</v>
      </c>
      <c r="C121" s="4">
        <f>YEAR(SalesData[[#This Row],[Date]])</f>
        <v>2024</v>
      </c>
      <c r="D121" s="4" t="str">
        <f>TEXT(SalesData[[#This Row],[Date]],"mmm")</f>
        <v>Jun</v>
      </c>
      <c r="E121">
        <v>35</v>
      </c>
      <c r="F121">
        <v>16</v>
      </c>
      <c r="G121">
        <v>351.71</v>
      </c>
      <c r="H121">
        <v>9</v>
      </c>
      <c r="I121" s="3">
        <v>0.5625</v>
      </c>
      <c r="J121" s="3">
        <v>3984.69</v>
      </c>
      <c r="K121" s="2">
        <v>0.28327187181323776</v>
      </c>
    </row>
    <row r="122" spans="1:11" x14ac:dyDescent="0.25">
      <c r="A122" t="s">
        <v>9</v>
      </c>
      <c r="B122" s="1">
        <v>45474</v>
      </c>
      <c r="C122" s="4">
        <f>YEAR(SalesData[[#This Row],[Date]])</f>
        <v>2024</v>
      </c>
      <c r="D122" s="4" t="str">
        <f>TEXT(SalesData[[#This Row],[Date]],"mmm")</f>
        <v>Jul</v>
      </c>
      <c r="E122">
        <v>71</v>
      </c>
      <c r="F122">
        <v>17</v>
      </c>
      <c r="G122">
        <v>360.1</v>
      </c>
      <c r="H122">
        <v>6</v>
      </c>
      <c r="I122" s="3">
        <v>0.35294117647058826</v>
      </c>
      <c r="J122" s="3">
        <v>4444.83</v>
      </c>
      <c r="K122" s="2">
        <v>0.81700973472188121</v>
      </c>
    </row>
    <row r="123" spans="1:11" x14ac:dyDescent="0.25">
      <c r="A123" t="s">
        <v>10</v>
      </c>
      <c r="B123" s="1">
        <v>45474</v>
      </c>
      <c r="C123" s="4">
        <f>YEAR(SalesData[[#This Row],[Date]])</f>
        <v>2024</v>
      </c>
      <c r="D123" s="4" t="str">
        <f>TEXT(SalesData[[#This Row],[Date]],"mmm")</f>
        <v>Jul</v>
      </c>
      <c r="E123">
        <v>62</v>
      </c>
      <c r="F123">
        <v>13</v>
      </c>
      <c r="G123">
        <v>364.64</v>
      </c>
      <c r="H123">
        <v>4</v>
      </c>
      <c r="I123" s="3">
        <v>0.30769230769230771</v>
      </c>
      <c r="J123" s="3">
        <v>3704.33</v>
      </c>
      <c r="K123" s="2">
        <v>0.20112014498395692</v>
      </c>
    </row>
    <row r="124" spans="1:11" x14ac:dyDescent="0.25">
      <c r="A124" t="s">
        <v>11</v>
      </c>
      <c r="B124" s="1">
        <v>45474</v>
      </c>
      <c r="C124" s="4">
        <f>YEAR(SalesData[[#This Row],[Date]])</f>
        <v>2024</v>
      </c>
      <c r="D124" s="4" t="str">
        <f>TEXT(SalesData[[#This Row],[Date]],"mmm")</f>
        <v>Jul</v>
      </c>
      <c r="E124">
        <v>53</v>
      </c>
      <c r="F124">
        <v>14</v>
      </c>
      <c r="G124">
        <v>367.56</v>
      </c>
      <c r="H124">
        <v>2</v>
      </c>
      <c r="I124" s="3">
        <v>0.14285714285714285</v>
      </c>
      <c r="J124" s="3">
        <v>3514.07</v>
      </c>
      <c r="K124" s="2">
        <v>9.6927099088973234E-2</v>
      </c>
    </row>
    <row r="125" spans="1:11" x14ac:dyDescent="0.25">
      <c r="A125" t="s">
        <v>12</v>
      </c>
      <c r="B125" s="1">
        <v>45474</v>
      </c>
      <c r="C125" s="4">
        <f>YEAR(SalesData[[#This Row],[Date]])</f>
        <v>2024</v>
      </c>
      <c r="D125" s="4" t="str">
        <f>TEXT(SalesData[[#This Row],[Date]],"mmm")</f>
        <v>Jul</v>
      </c>
      <c r="E125">
        <v>18</v>
      </c>
      <c r="F125">
        <v>6</v>
      </c>
      <c r="G125">
        <v>76.27</v>
      </c>
      <c r="H125">
        <v>4</v>
      </c>
      <c r="I125" s="3">
        <v>0.66666666666666663</v>
      </c>
      <c r="J125" s="3">
        <v>1597.98</v>
      </c>
      <c r="K125" s="2">
        <v>0.9540531772114127</v>
      </c>
    </row>
    <row r="126" spans="1:11" x14ac:dyDescent="0.25">
      <c r="A126" t="s">
        <v>13</v>
      </c>
      <c r="B126" s="1">
        <v>45474</v>
      </c>
      <c r="C126" s="4">
        <f>YEAR(SalesData[[#This Row],[Date]])</f>
        <v>2024</v>
      </c>
      <c r="D126" s="4" t="str">
        <f>TEXT(SalesData[[#This Row],[Date]],"mmm")</f>
        <v>Jul</v>
      </c>
      <c r="E126">
        <v>71</v>
      </c>
      <c r="F126">
        <v>12</v>
      </c>
      <c r="G126">
        <v>487.04</v>
      </c>
      <c r="H126">
        <v>5</v>
      </c>
      <c r="I126" s="3">
        <v>0.41666666666666669</v>
      </c>
      <c r="J126" s="3">
        <v>1004.9</v>
      </c>
      <c r="K126" s="2">
        <v>0.9181314914040769</v>
      </c>
    </row>
    <row r="127" spans="1:11" x14ac:dyDescent="0.25">
      <c r="A127" t="s">
        <v>14</v>
      </c>
      <c r="B127" s="1">
        <v>45474</v>
      </c>
      <c r="C127" s="4">
        <f>YEAR(SalesData[[#This Row],[Date]])</f>
        <v>2024</v>
      </c>
      <c r="D127" s="4" t="str">
        <f>TEXT(SalesData[[#This Row],[Date]],"mmm")</f>
        <v>Jul</v>
      </c>
      <c r="E127">
        <v>70</v>
      </c>
      <c r="F127">
        <v>5</v>
      </c>
      <c r="G127">
        <v>491.31</v>
      </c>
      <c r="H127">
        <v>3</v>
      </c>
      <c r="I127" s="3">
        <v>0.6</v>
      </c>
      <c r="J127" s="3">
        <v>3289.06</v>
      </c>
      <c r="K127" s="2">
        <v>1.9405932921561009E-2</v>
      </c>
    </row>
    <row r="128" spans="1:11" x14ac:dyDescent="0.25">
      <c r="A128" t="s">
        <v>15</v>
      </c>
      <c r="B128" s="1">
        <v>45474</v>
      </c>
      <c r="C128" s="4">
        <f>YEAR(SalesData[[#This Row],[Date]])</f>
        <v>2024</v>
      </c>
      <c r="D128" s="4" t="str">
        <f>TEXT(SalesData[[#This Row],[Date]],"mmm")</f>
        <v>Jul</v>
      </c>
      <c r="E128">
        <v>77</v>
      </c>
      <c r="F128">
        <v>15</v>
      </c>
      <c r="G128">
        <v>282.58999999999997</v>
      </c>
      <c r="H128">
        <v>2</v>
      </c>
      <c r="I128" s="3">
        <v>0.13333333333333333</v>
      </c>
      <c r="J128" s="3">
        <v>2296.14</v>
      </c>
      <c r="K128" s="2">
        <v>0.60319867983192643</v>
      </c>
    </row>
    <row r="129" spans="1:11" x14ac:dyDescent="0.25">
      <c r="A129" t="s">
        <v>16</v>
      </c>
      <c r="B129" s="1">
        <v>45474</v>
      </c>
      <c r="C129" s="4">
        <f>YEAR(SalesData[[#This Row],[Date]])</f>
        <v>2024</v>
      </c>
      <c r="D129" s="4" t="str">
        <f>TEXT(SalesData[[#This Row],[Date]],"mmm")</f>
        <v>Jul</v>
      </c>
      <c r="E129">
        <v>31</v>
      </c>
      <c r="F129">
        <v>15</v>
      </c>
      <c r="G129">
        <v>347.38</v>
      </c>
      <c r="H129">
        <v>10</v>
      </c>
      <c r="I129" s="3">
        <v>0.66666666666666663</v>
      </c>
      <c r="J129" s="3">
        <v>1101.06</v>
      </c>
      <c r="K129" s="2">
        <v>0.70313882936360339</v>
      </c>
    </row>
    <row r="130" spans="1:11" x14ac:dyDescent="0.25">
      <c r="A130" t="s">
        <v>17</v>
      </c>
      <c r="B130" s="1">
        <v>45474</v>
      </c>
      <c r="C130" s="4">
        <f>YEAR(SalesData[[#This Row],[Date]])</f>
        <v>2024</v>
      </c>
      <c r="D130" s="4" t="str">
        <f>TEXT(SalesData[[#This Row],[Date]],"mmm")</f>
        <v>Jul</v>
      </c>
      <c r="E130">
        <v>77</v>
      </c>
      <c r="F130">
        <v>16</v>
      </c>
      <c r="G130">
        <v>335.59</v>
      </c>
      <c r="H130">
        <v>7</v>
      </c>
      <c r="I130" s="3">
        <v>0.4375</v>
      </c>
      <c r="J130" s="3">
        <v>1087.4100000000001</v>
      </c>
      <c r="K130" s="2">
        <v>0.71866663606315584</v>
      </c>
    </row>
    <row r="131" spans="1:11" x14ac:dyDescent="0.25">
      <c r="A131" t="s">
        <v>18</v>
      </c>
      <c r="B131" s="1">
        <v>45474</v>
      </c>
      <c r="C131" s="4">
        <f>YEAR(SalesData[[#This Row],[Date]])</f>
        <v>2024</v>
      </c>
      <c r="D131" s="4" t="str">
        <f>TEXT(SalesData[[#This Row],[Date]],"mmm")</f>
        <v>Jul</v>
      </c>
      <c r="E131">
        <v>72</v>
      </c>
      <c r="F131">
        <v>21</v>
      </c>
      <c r="G131">
        <v>604.57000000000005</v>
      </c>
      <c r="H131">
        <v>2</v>
      </c>
      <c r="I131" s="3">
        <v>9.5238095238095233E-2</v>
      </c>
      <c r="J131" s="3">
        <v>327.82</v>
      </c>
      <c r="K131" s="2">
        <v>0.14309946778690452</v>
      </c>
    </row>
    <row r="132" spans="1:11" x14ac:dyDescent="0.25">
      <c r="A132" t="s">
        <v>19</v>
      </c>
      <c r="B132" s="1">
        <v>45474</v>
      </c>
      <c r="C132" s="4">
        <f>YEAR(SalesData[[#This Row],[Date]])</f>
        <v>2024</v>
      </c>
      <c r="D132" s="4" t="str">
        <f>TEXT(SalesData[[#This Row],[Date]],"mmm")</f>
        <v>Jul</v>
      </c>
      <c r="E132">
        <v>34</v>
      </c>
      <c r="F132">
        <v>7</v>
      </c>
      <c r="G132">
        <v>199.39</v>
      </c>
      <c r="H132">
        <v>1</v>
      </c>
      <c r="I132" s="3">
        <v>0.14285714285714285</v>
      </c>
      <c r="J132" s="3">
        <v>3767.74</v>
      </c>
      <c r="K132" s="2">
        <v>0.92433024633327121</v>
      </c>
    </row>
    <row r="133" spans="1:11" x14ac:dyDescent="0.25">
      <c r="A133" t="s">
        <v>20</v>
      </c>
      <c r="B133" s="1">
        <v>45474</v>
      </c>
      <c r="C133" s="4">
        <f>YEAR(SalesData[[#This Row],[Date]])</f>
        <v>2024</v>
      </c>
      <c r="D133" s="4" t="str">
        <f>TEXT(SalesData[[#This Row],[Date]],"mmm")</f>
        <v>Jul</v>
      </c>
      <c r="E133">
        <v>83</v>
      </c>
      <c r="F133">
        <v>5</v>
      </c>
      <c r="G133">
        <v>166.85</v>
      </c>
      <c r="H133">
        <v>4</v>
      </c>
      <c r="I133" s="3">
        <v>0.8</v>
      </c>
      <c r="J133" s="3">
        <v>1364.24</v>
      </c>
      <c r="K133" s="2">
        <v>0.66765615715769489</v>
      </c>
    </row>
    <row r="134" spans="1:11" x14ac:dyDescent="0.25">
      <c r="A134" t="s">
        <v>21</v>
      </c>
      <c r="B134" s="1">
        <v>45474</v>
      </c>
      <c r="C134" s="4">
        <f>YEAR(SalesData[[#This Row],[Date]])</f>
        <v>2024</v>
      </c>
      <c r="D134" s="4" t="str">
        <f>TEXT(SalesData[[#This Row],[Date]],"mmm")</f>
        <v>Jul</v>
      </c>
      <c r="E134">
        <v>71</v>
      </c>
      <c r="F134">
        <v>7</v>
      </c>
      <c r="G134">
        <v>78.53</v>
      </c>
      <c r="H134">
        <v>4</v>
      </c>
      <c r="I134" s="3">
        <v>0.5714285714285714</v>
      </c>
      <c r="J134" s="3">
        <v>3652.64</v>
      </c>
      <c r="K134" s="2">
        <v>0.99777201995209885</v>
      </c>
    </row>
    <row r="135" spans="1:11" x14ac:dyDescent="0.25">
      <c r="A135" t="s">
        <v>22</v>
      </c>
      <c r="B135" s="1">
        <v>45474</v>
      </c>
      <c r="C135" s="4">
        <f>YEAR(SalesData[[#This Row],[Date]])</f>
        <v>2024</v>
      </c>
      <c r="D135" s="4" t="str">
        <f>TEXT(SalesData[[#This Row],[Date]],"mmm")</f>
        <v>Jul</v>
      </c>
      <c r="E135">
        <v>75</v>
      </c>
      <c r="F135">
        <v>17</v>
      </c>
      <c r="G135">
        <v>176.07</v>
      </c>
      <c r="H135">
        <v>5</v>
      </c>
      <c r="I135" s="3">
        <v>0.29411764705882354</v>
      </c>
      <c r="J135" s="3">
        <v>458.18</v>
      </c>
      <c r="K135" s="2">
        <v>0.37466331943171749</v>
      </c>
    </row>
    <row r="136" spans="1:11" x14ac:dyDescent="0.25">
      <c r="A136" t="s">
        <v>23</v>
      </c>
      <c r="B136" s="1">
        <v>45474</v>
      </c>
      <c r="C136" s="4">
        <f>YEAR(SalesData[[#This Row],[Date]])</f>
        <v>2024</v>
      </c>
      <c r="D136" s="4" t="str">
        <f>TEXT(SalesData[[#This Row],[Date]],"mmm")</f>
        <v>Jul</v>
      </c>
      <c r="E136">
        <v>76</v>
      </c>
      <c r="F136">
        <v>11</v>
      </c>
      <c r="G136">
        <v>486.93</v>
      </c>
      <c r="H136">
        <v>0</v>
      </c>
      <c r="I136" s="3">
        <v>0</v>
      </c>
      <c r="J136" s="3">
        <v>1219.29</v>
      </c>
      <c r="K136" s="2">
        <v>0.33158310545669778</v>
      </c>
    </row>
    <row r="137" spans="1:11" x14ac:dyDescent="0.25">
      <c r="A137" t="s">
        <v>24</v>
      </c>
      <c r="B137" s="1">
        <v>45474</v>
      </c>
      <c r="C137" s="4">
        <f>YEAR(SalesData[[#This Row],[Date]])</f>
        <v>2024</v>
      </c>
      <c r="D137" s="4" t="str">
        <f>TEXT(SalesData[[#This Row],[Date]],"mmm")</f>
        <v>Jul</v>
      </c>
      <c r="E137">
        <v>20</v>
      </c>
      <c r="F137">
        <v>14</v>
      </c>
      <c r="G137">
        <v>283.66000000000003</v>
      </c>
      <c r="H137">
        <v>2</v>
      </c>
      <c r="I137" s="3">
        <v>0.14285714285714285</v>
      </c>
      <c r="J137" s="3">
        <v>1494.14</v>
      </c>
      <c r="K137" s="2">
        <v>0.18967884010724945</v>
      </c>
    </row>
    <row r="138" spans="1:11" x14ac:dyDescent="0.25">
      <c r="A138" t="s">
        <v>25</v>
      </c>
      <c r="B138" s="1">
        <v>45474</v>
      </c>
      <c r="C138" s="4">
        <f>YEAR(SalesData[[#This Row],[Date]])</f>
        <v>2024</v>
      </c>
      <c r="D138" s="4" t="str">
        <f>TEXT(SalesData[[#This Row],[Date]],"mmm")</f>
        <v>Jul</v>
      </c>
      <c r="E138">
        <v>82</v>
      </c>
      <c r="F138">
        <v>9</v>
      </c>
      <c r="G138">
        <v>171.86</v>
      </c>
      <c r="H138">
        <v>7</v>
      </c>
      <c r="I138" s="3">
        <v>0.77777777777777779</v>
      </c>
      <c r="J138" s="3">
        <v>506.88</v>
      </c>
      <c r="K138" s="2">
        <v>0.30844296513815395</v>
      </c>
    </row>
    <row r="139" spans="1:11" x14ac:dyDescent="0.25">
      <c r="A139" t="s">
        <v>26</v>
      </c>
      <c r="B139" s="1">
        <v>45474</v>
      </c>
      <c r="C139" s="4">
        <f>YEAR(SalesData[[#This Row],[Date]])</f>
        <v>2024</v>
      </c>
      <c r="D139" s="4" t="str">
        <f>TEXT(SalesData[[#This Row],[Date]],"mmm")</f>
        <v>Jul</v>
      </c>
      <c r="E139">
        <v>103</v>
      </c>
      <c r="F139">
        <v>15</v>
      </c>
      <c r="G139">
        <v>359.16</v>
      </c>
      <c r="H139">
        <v>1</v>
      </c>
      <c r="I139" s="3">
        <v>6.6666666666666666E-2</v>
      </c>
      <c r="J139" s="3">
        <v>2949.94</v>
      </c>
      <c r="K139" s="2">
        <v>0.57713990791014469</v>
      </c>
    </row>
    <row r="140" spans="1:11" x14ac:dyDescent="0.25">
      <c r="A140" t="s">
        <v>27</v>
      </c>
      <c r="B140" s="1">
        <v>45474</v>
      </c>
      <c r="C140" s="4">
        <f>YEAR(SalesData[[#This Row],[Date]])</f>
        <v>2024</v>
      </c>
      <c r="D140" s="4" t="str">
        <f>TEXT(SalesData[[#This Row],[Date]],"mmm")</f>
        <v>Jul</v>
      </c>
      <c r="E140">
        <v>41</v>
      </c>
      <c r="F140">
        <v>9</v>
      </c>
      <c r="G140">
        <v>569.97</v>
      </c>
      <c r="H140">
        <v>5</v>
      </c>
      <c r="I140" s="3">
        <v>0.55555555555555558</v>
      </c>
      <c r="J140" s="3">
        <v>259.86</v>
      </c>
      <c r="K140" s="2">
        <v>0.38542566990817051</v>
      </c>
    </row>
    <row r="141" spans="1:11" x14ac:dyDescent="0.25">
      <c r="A141" t="s">
        <v>28</v>
      </c>
      <c r="B141" s="1">
        <v>45474</v>
      </c>
      <c r="C141" s="4">
        <f>YEAR(SalesData[[#This Row],[Date]])</f>
        <v>2024</v>
      </c>
      <c r="D141" s="4" t="str">
        <f>TEXT(SalesData[[#This Row],[Date]],"mmm")</f>
        <v>Jul</v>
      </c>
      <c r="E141">
        <v>38</v>
      </c>
      <c r="F141">
        <v>14</v>
      </c>
      <c r="G141">
        <v>359.22</v>
      </c>
      <c r="H141">
        <v>8</v>
      </c>
      <c r="I141" s="3">
        <v>0.5714285714285714</v>
      </c>
      <c r="J141" s="3">
        <v>3846.34</v>
      </c>
      <c r="K141" s="2">
        <v>0.8825190351269353</v>
      </c>
    </row>
    <row r="142" spans="1:11" x14ac:dyDescent="0.25">
      <c r="A142" t="s">
        <v>9</v>
      </c>
      <c r="B142" s="1">
        <v>45505</v>
      </c>
      <c r="C142" s="4">
        <f>YEAR(SalesData[[#This Row],[Date]])</f>
        <v>2024</v>
      </c>
      <c r="D142" s="4" t="str">
        <f>TEXT(SalesData[[#This Row],[Date]],"mmm")</f>
        <v>Aug</v>
      </c>
      <c r="E142">
        <v>71</v>
      </c>
      <c r="F142">
        <v>15</v>
      </c>
      <c r="G142">
        <v>297.05</v>
      </c>
      <c r="H142">
        <v>6</v>
      </c>
      <c r="I142" s="3">
        <v>0.4</v>
      </c>
      <c r="J142" s="3">
        <v>4043.62</v>
      </c>
      <c r="K142" s="2">
        <v>0.96446730737008357</v>
      </c>
    </row>
    <row r="143" spans="1:11" x14ac:dyDescent="0.25">
      <c r="A143" t="s">
        <v>10</v>
      </c>
      <c r="B143" s="1">
        <v>45505</v>
      </c>
      <c r="C143" s="4">
        <f>YEAR(SalesData[[#This Row],[Date]])</f>
        <v>2024</v>
      </c>
      <c r="D143" s="4" t="str">
        <f>TEXT(SalesData[[#This Row],[Date]],"mmm")</f>
        <v>Aug</v>
      </c>
      <c r="E143">
        <v>66</v>
      </c>
      <c r="F143">
        <v>13</v>
      </c>
      <c r="G143">
        <v>376.76</v>
      </c>
      <c r="H143">
        <v>5</v>
      </c>
      <c r="I143" s="3">
        <v>0.38461538461538464</v>
      </c>
      <c r="J143" s="3">
        <v>3819.73</v>
      </c>
      <c r="K143" s="2">
        <v>0.16731259650900809</v>
      </c>
    </row>
    <row r="144" spans="1:11" x14ac:dyDescent="0.25">
      <c r="A144" t="s">
        <v>11</v>
      </c>
      <c r="B144" s="1">
        <v>45505</v>
      </c>
      <c r="C144" s="4">
        <f>YEAR(SalesData[[#This Row],[Date]])</f>
        <v>2024</v>
      </c>
      <c r="D144" s="4" t="str">
        <f>TEXT(SalesData[[#This Row],[Date]],"mmm")</f>
        <v>Aug</v>
      </c>
      <c r="E144">
        <v>53</v>
      </c>
      <c r="F144">
        <v>15</v>
      </c>
      <c r="G144">
        <v>379.29</v>
      </c>
      <c r="H144">
        <v>2</v>
      </c>
      <c r="I144" s="3">
        <v>0.13333333333333333</v>
      </c>
      <c r="J144" s="3">
        <v>3409.69</v>
      </c>
      <c r="K144" s="2">
        <v>0.13329331581339965</v>
      </c>
    </row>
    <row r="145" spans="1:11" x14ac:dyDescent="0.25">
      <c r="A145" t="s">
        <v>12</v>
      </c>
      <c r="B145" s="1">
        <v>45505</v>
      </c>
      <c r="C145" s="4">
        <f>YEAR(SalesData[[#This Row],[Date]])</f>
        <v>2024</v>
      </c>
      <c r="D145" s="4" t="str">
        <f>TEXT(SalesData[[#This Row],[Date]],"mmm")</f>
        <v>Aug</v>
      </c>
      <c r="E145">
        <v>18</v>
      </c>
      <c r="F145">
        <v>8</v>
      </c>
      <c r="G145">
        <v>82.91</v>
      </c>
      <c r="H145">
        <v>3</v>
      </c>
      <c r="I145" s="3">
        <v>0.375</v>
      </c>
      <c r="J145" s="3">
        <v>1387.86</v>
      </c>
      <c r="K145" s="2">
        <v>0.92621059315186183</v>
      </c>
    </row>
    <row r="146" spans="1:11" x14ac:dyDescent="0.25">
      <c r="A146" t="s">
        <v>13</v>
      </c>
      <c r="B146" s="1">
        <v>45505</v>
      </c>
      <c r="C146" s="4">
        <f>YEAR(SalesData[[#This Row],[Date]])</f>
        <v>2024</v>
      </c>
      <c r="D146" s="4" t="str">
        <f>TEXT(SalesData[[#This Row],[Date]],"mmm")</f>
        <v>Aug</v>
      </c>
      <c r="E146">
        <v>72</v>
      </c>
      <c r="F146">
        <v>14</v>
      </c>
      <c r="G146">
        <v>437.47</v>
      </c>
      <c r="H146">
        <v>4</v>
      </c>
      <c r="I146" s="3">
        <v>0.2857142857142857</v>
      </c>
      <c r="J146" s="3">
        <v>958.02</v>
      </c>
      <c r="K146" s="2">
        <v>0.4827288663749798</v>
      </c>
    </row>
    <row r="147" spans="1:11" x14ac:dyDescent="0.25">
      <c r="A147" t="s">
        <v>14</v>
      </c>
      <c r="B147" s="1">
        <v>45505</v>
      </c>
      <c r="C147" s="4">
        <f>YEAR(SalesData[[#This Row],[Date]])</f>
        <v>2024</v>
      </c>
      <c r="D147" s="4" t="str">
        <f>TEXT(SalesData[[#This Row],[Date]],"mmm")</f>
        <v>Aug</v>
      </c>
      <c r="E147">
        <v>64</v>
      </c>
      <c r="F147">
        <v>7</v>
      </c>
      <c r="G147">
        <v>554.20000000000005</v>
      </c>
      <c r="H147">
        <v>2</v>
      </c>
      <c r="I147" s="3">
        <v>0.2857142857142857</v>
      </c>
      <c r="J147" s="3">
        <v>3620.9</v>
      </c>
      <c r="K147" s="2">
        <v>0.31834848027735407</v>
      </c>
    </row>
    <row r="148" spans="1:11" x14ac:dyDescent="0.25">
      <c r="A148" t="s">
        <v>15</v>
      </c>
      <c r="B148" s="1">
        <v>45505</v>
      </c>
      <c r="C148" s="4">
        <f>YEAR(SalesData[[#This Row],[Date]])</f>
        <v>2024</v>
      </c>
      <c r="D148" s="4" t="str">
        <f>TEXT(SalesData[[#This Row],[Date]],"mmm")</f>
        <v>Aug</v>
      </c>
      <c r="E148">
        <v>76</v>
      </c>
      <c r="F148">
        <v>21</v>
      </c>
      <c r="G148">
        <v>293.93</v>
      </c>
      <c r="H148">
        <v>2</v>
      </c>
      <c r="I148" s="3">
        <v>9.5238095238095233E-2</v>
      </c>
      <c r="J148" s="3">
        <v>2531.4</v>
      </c>
      <c r="K148" s="2">
        <v>0.57694875735363693</v>
      </c>
    </row>
    <row r="149" spans="1:11" x14ac:dyDescent="0.25">
      <c r="A149" t="s">
        <v>16</v>
      </c>
      <c r="B149" s="1">
        <v>45505</v>
      </c>
      <c r="C149" s="4">
        <f>YEAR(SalesData[[#This Row],[Date]])</f>
        <v>2024</v>
      </c>
      <c r="D149" s="4" t="str">
        <f>TEXT(SalesData[[#This Row],[Date]],"mmm")</f>
        <v>Aug</v>
      </c>
      <c r="E149">
        <v>26</v>
      </c>
      <c r="F149">
        <v>17</v>
      </c>
      <c r="G149">
        <v>391.73</v>
      </c>
      <c r="H149">
        <v>7</v>
      </c>
      <c r="I149" s="3">
        <v>0.41176470588235292</v>
      </c>
      <c r="J149" s="3">
        <v>1166.55</v>
      </c>
      <c r="K149" s="2">
        <v>0.41590365211917679</v>
      </c>
    </row>
    <row r="150" spans="1:11" x14ac:dyDescent="0.25">
      <c r="A150" t="s">
        <v>17</v>
      </c>
      <c r="B150" s="1">
        <v>45505</v>
      </c>
      <c r="C150" s="4">
        <f>YEAR(SalesData[[#This Row],[Date]])</f>
        <v>2024</v>
      </c>
      <c r="D150" s="4" t="str">
        <f>TEXT(SalesData[[#This Row],[Date]],"mmm")</f>
        <v>Aug</v>
      </c>
      <c r="E150">
        <v>65</v>
      </c>
      <c r="F150">
        <v>13</v>
      </c>
      <c r="G150">
        <v>324.26</v>
      </c>
      <c r="H150">
        <v>7</v>
      </c>
      <c r="I150" s="3">
        <v>0.53846153846153844</v>
      </c>
      <c r="J150" s="3">
        <v>1044.8599999999999</v>
      </c>
      <c r="K150" s="2">
        <v>0.89967374220112506</v>
      </c>
    </row>
    <row r="151" spans="1:11" x14ac:dyDescent="0.25">
      <c r="A151" t="s">
        <v>18</v>
      </c>
      <c r="B151" s="1">
        <v>45505</v>
      </c>
      <c r="C151" s="4">
        <f>YEAR(SalesData[[#This Row],[Date]])</f>
        <v>2024</v>
      </c>
      <c r="D151" s="4" t="str">
        <f>TEXT(SalesData[[#This Row],[Date]],"mmm")</f>
        <v>Aug</v>
      </c>
      <c r="E151">
        <v>83</v>
      </c>
      <c r="F151">
        <v>15</v>
      </c>
      <c r="G151">
        <v>601.05999999999995</v>
      </c>
      <c r="H151">
        <v>3</v>
      </c>
      <c r="I151" s="3">
        <v>0.2</v>
      </c>
      <c r="J151" s="3">
        <v>350.62</v>
      </c>
      <c r="K151" s="2">
        <v>0.77039258746783867</v>
      </c>
    </row>
    <row r="152" spans="1:11" x14ac:dyDescent="0.25">
      <c r="A152" t="s">
        <v>19</v>
      </c>
      <c r="B152" s="1">
        <v>45505</v>
      </c>
      <c r="C152" s="4">
        <f>YEAR(SalesData[[#This Row],[Date]])</f>
        <v>2024</v>
      </c>
      <c r="D152" s="4" t="str">
        <f>TEXT(SalesData[[#This Row],[Date]],"mmm")</f>
        <v>Aug</v>
      </c>
      <c r="E152">
        <v>35</v>
      </c>
      <c r="F152">
        <v>6</v>
      </c>
      <c r="G152">
        <v>192.19</v>
      </c>
      <c r="H152">
        <v>1</v>
      </c>
      <c r="I152" s="3">
        <v>0.16666666666666666</v>
      </c>
      <c r="J152" s="3">
        <v>3963.32</v>
      </c>
      <c r="K152" s="2">
        <v>0.67362188226207798</v>
      </c>
    </row>
    <row r="153" spans="1:11" x14ac:dyDescent="0.25">
      <c r="A153" t="s">
        <v>20</v>
      </c>
      <c r="B153" s="1">
        <v>45505</v>
      </c>
      <c r="C153" s="4">
        <f>YEAR(SalesData[[#This Row],[Date]])</f>
        <v>2024</v>
      </c>
      <c r="D153" s="4" t="str">
        <f>TEXT(SalesData[[#This Row],[Date]],"mmm")</f>
        <v>Aug</v>
      </c>
      <c r="E153">
        <v>104</v>
      </c>
      <c r="F153">
        <v>4</v>
      </c>
      <c r="G153">
        <v>169.75</v>
      </c>
      <c r="H153">
        <v>3</v>
      </c>
      <c r="I153" s="3">
        <v>0.75</v>
      </c>
      <c r="J153" s="3">
        <v>1255.83</v>
      </c>
      <c r="K153" s="2">
        <v>0.47477626130326811</v>
      </c>
    </row>
    <row r="154" spans="1:11" x14ac:dyDescent="0.25">
      <c r="A154" t="s">
        <v>21</v>
      </c>
      <c r="B154" s="1">
        <v>45505</v>
      </c>
      <c r="C154" s="4">
        <f>YEAR(SalesData[[#This Row],[Date]])</f>
        <v>2024</v>
      </c>
      <c r="D154" s="4" t="str">
        <f>TEXT(SalesData[[#This Row],[Date]],"mmm")</f>
        <v>Aug</v>
      </c>
      <c r="E154">
        <v>71</v>
      </c>
      <c r="F154">
        <v>6</v>
      </c>
      <c r="G154">
        <v>87.5</v>
      </c>
      <c r="H154">
        <v>3</v>
      </c>
      <c r="I154" s="3">
        <v>0.5</v>
      </c>
      <c r="J154" s="3">
        <v>3666.64</v>
      </c>
      <c r="K154" s="2">
        <v>0.93344478347754967</v>
      </c>
    </row>
    <row r="155" spans="1:11" x14ac:dyDescent="0.25">
      <c r="A155" t="s">
        <v>22</v>
      </c>
      <c r="B155" s="1">
        <v>45505</v>
      </c>
      <c r="C155" s="4">
        <f>YEAR(SalesData[[#This Row],[Date]])</f>
        <v>2024</v>
      </c>
      <c r="D155" s="4" t="str">
        <f>TEXT(SalesData[[#This Row],[Date]],"mmm")</f>
        <v>Aug</v>
      </c>
      <c r="E155">
        <v>85</v>
      </c>
      <c r="F155">
        <v>17</v>
      </c>
      <c r="G155">
        <v>187.72</v>
      </c>
      <c r="H155">
        <v>5</v>
      </c>
      <c r="I155" s="3">
        <v>0.29411764705882354</v>
      </c>
      <c r="J155" s="3">
        <v>443.22</v>
      </c>
      <c r="K155" s="2">
        <v>9.4331919871830983E-2</v>
      </c>
    </row>
    <row r="156" spans="1:11" x14ac:dyDescent="0.25">
      <c r="A156" t="s">
        <v>23</v>
      </c>
      <c r="B156" s="1">
        <v>45505</v>
      </c>
      <c r="C156" s="4">
        <f>YEAR(SalesData[[#This Row],[Date]])</f>
        <v>2024</v>
      </c>
      <c r="D156" s="4" t="str">
        <f>TEXT(SalesData[[#This Row],[Date]],"mmm")</f>
        <v>Aug</v>
      </c>
      <c r="E156">
        <v>80</v>
      </c>
      <c r="F156">
        <v>13</v>
      </c>
      <c r="G156">
        <v>504.59</v>
      </c>
      <c r="H156">
        <v>0</v>
      </c>
      <c r="I156" s="3">
        <v>0</v>
      </c>
      <c r="J156" s="3">
        <v>1265.47</v>
      </c>
      <c r="K156" s="2">
        <v>0.69661462034131449</v>
      </c>
    </row>
    <row r="157" spans="1:11" x14ac:dyDescent="0.25">
      <c r="A157" t="s">
        <v>24</v>
      </c>
      <c r="B157" s="1">
        <v>45505</v>
      </c>
      <c r="C157" s="4">
        <f>YEAR(SalesData[[#This Row],[Date]])</f>
        <v>2024</v>
      </c>
      <c r="D157" s="4" t="str">
        <f>TEXT(SalesData[[#This Row],[Date]],"mmm")</f>
        <v>Aug</v>
      </c>
      <c r="E157">
        <v>18</v>
      </c>
      <c r="F157">
        <v>12</v>
      </c>
      <c r="G157">
        <v>262.26</v>
      </c>
      <c r="H157">
        <v>1</v>
      </c>
      <c r="I157" s="3">
        <v>8.3333333333333329E-2</v>
      </c>
      <c r="J157" s="3">
        <v>1573.7</v>
      </c>
      <c r="K157" s="2">
        <v>0.68904961039885759</v>
      </c>
    </row>
    <row r="158" spans="1:11" x14ac:dyDescent="0.25">
      <c r="A158" t="s">
        <v>25</v>
      </c>
      <c r="B158" s="1">
        <v>45505</v>
      </c>
      <c r="C158" s="4">
        <f>YEAR(SalesData[[#This Row],[Date]])</f>
        <v>2024</v>
      </c>
      <c r="D158" s="4" t="str">
        <f>TEXT(SalesData[[#This Row],[Date]],"mmm")</f>
        <v>Aug</v>
      </c>
      <c r="E158">
        <v>71</v>
      </c>
      <c r="F158">
        <v>9</v>
      </c>
      <c r="G158">
        <v>172.96</v>
      </c>
      <c r="H158">
        <v>6</v>
      </c>
      <c r="I158" s="3">
        <v>0.66666666666666663</v>
      </c>
      <c r="J158" s="3">
        <v>464.49</v>
      </c>
      <c r="K158" s="2">
        <v>0.98835432384787847</v>
      </c>
    </row>
    <row r="159" spans="1:11" x14ac:dyDescent="0.25">
      <c r="A159" t="s">
        <v>26</v>
      </c>
      <c r="B159" s="1">
        <v>45505</v>
      </c>
      <c r="C159" s="4">
        <f>YEAR(SalesData[[#This Row],[Date]])</f>
        <v>2024</v>
      </c>
      <c r="D159" s="4" t="str">
        <f>TEXT(SalesData[[#This Row],[Date]],"mmm")</f>
        <v>Aug</v>
      </c>
      <c r="E159">
        <v>115</v>
      </c>
      <c r="F159">
        <v>17</v>
      </c>
      <c r="G159">
        <v>422.48</v>
      </c>
      <c r="H159">
        <v>0</v>
      </c>
      <c r="I159" s="3">
        <v>0</v>
      </c>
      <c r="J159" s="3">
        <v>2681.51</v>
      </c>
      <c r="K159" s="2">
        <v>3.9331881116160927E-2</v>
      </c>
    </row>
    <row r="160" spans="1:11" x14ac:dyDescent="0.25">
      <c r="A160" t="s">
        <v>27</v>
      </c>
      <c r="B160" s="1">
        <v>45505</v>
      </c>
      <c r="C160" s="4">
        <f>YEAR(SalesData[[#This Row],[Date]])</f>
        <v>2024</v>
      </c>
      <c r="D160" s="4" t="str">
        <f>TEXT(SalesData[[#This Row],[Date]],"mmm")</f>
        <v>Aug</v>
      </c>
      <c r="E160">
        <v>34</v>
      </c>
      <c r="F160">
        <v>10</v>
      </c>
      <c r="G160">
        <v>565.11</v>
      </c>
      <c r="H160">
        <v>5</v>
      </c>
      <c r="I160" s="3">
        <v>0.5</v>
      </c>
      <c r="J160" s="3">
        <v>222.62</v>
      </c>
      <c r="K160" s="2">
        <v>0.945234315259879</v>
      </c>
    </row>
    <row r="161" spans="1:11" x14ac:dyDescent="0.25">
      <c r="A161" t="s">
        <v>28</v>
      </c>
      <c r="B161" s="1">
        <v>45505</v>
      </c>
      <c r="C161" s="4">
        <f>YEAR(SalesData[[#This Row],[Date]])</f>
        <v>2024</v>
      </c>
      <c r="D161" s="4" t="str">
        <f>TEXT(SalesData[[#This Row],[Date]],"mmm")</f>
        <v>Aug</v>
      </c>
      <c r="E161">
        <v>40</v>
      </c>
      <c r="F161">
        <v>17</v>
      </c>
      <c r="G161">
        <v>355.83</v>
      </c>
      <c r="H161">
        <v>6</v>
      </c>
      <c r="I161" s="3">
        <v>0.35294117647058826</v>
      </c>
      <c r="J161" s="3">
        <v>4155.8599999999997</v>
      </c>
      <c r="K161" s="2">
        <v>0.6219641246809644</v>
      </c>
    </row>
    <row r="162" spans="1:11" x14ac:dyDescent="0.25">
      <c r="A162" t="s">
        <v>9</v>
      </c>
      <c r="B162" s="1">
        <v>45536</v>
      </c>
      <c r="C162" s="4">
        <f>YEAR(SalesData[[#This Row],[Date]])</f>
        <v>2024</v>
      </c>
      <c r="D162" s="4" t="str">
        <f>TEXT(SalesData[[#This Row],[Date]],"mmm")</f>
        <v>Sep</v>
      </c>
      <c r="E162">
        <v>51</v>
      </c>
      <c r="F162">
        <v>15</v>
      </c>
      <c r="G162">
        <v>349.71</v>
      </c>
      <c r="H162">
        <v>8</v>
      </c>
      <c r="I162" s="3">
        <v>0.53333333333333333</v>
      </c>
      <c r="J162" s="3">
        <v>4017.54</v>
      </c>
      <c r="K162" s="2">
        <v>0.94290678890592405</v>
      </c>
    </row>
    <row r="163" spans="1:11" x14ac:dyDescent="0.25">
      <c r="A163" t="s">
        <v>10</v>
      </c>
      <c r="B163" s="1">
        <v>45536</v>
      </c>
      <c r="C163" s="4">
        <f>YEAR(SalesData[[#This Row],[Date]])</f>
        <v>2024</v>
      </c>
      <c r="D163" s="4" t="str">
        <f>TEXT(SalesData[[#This Row],[Date]],"mmm")</f>
        <v>Sep</v>
      </c>
      <c r="E163">
        <v>79</v>
      </c>
      <c r="F163">
        <v>9</v>
      </c>
      <c r="G163">
        <v>358.67</v>
      </c>
      <c r="H163">
        <v>5</v>
      </c>
      <c r="I163" s="3">
        <v>0.55555555555555558</v>
      </c>
      <c r="J163" s="3">
        <v>3658.64</v>
      </c>
      <c r="K163" s="2">
        <v>0.4174427540790554</v>
      </c>
    </row>
    <row r="164" spans="1:11" x14ac:dyDescent="0.25">
      <c r="A164" t="s">
        <v>11</v>
      </c>
      <c r="B164" s="1">
        <v>45536</v>
      </c>
      <c r="C164" s="4">
        <f>YEAR(SalesData[[#This Row],[Date]])</f>
        <v>2024</v>
      </c>
      <c r="D164" s="4" t="str">
        <f>TEXT(SalesData[[#This Row],[Date]],"mmm")</f>
        <v>Sep</v>
      </c>
      <c r="E164">
        <v>57</v>
      </c>
      <c r="F164">
        <v>18</v>
      </c>
      <c r="G164">
        <v>403.41</v>
      </c>
      <c r="H164">
        <v>3</v>
      </c>
      <c r="I164" s="3">
        <v>0.16666666666666666</v>
      </c>
      <c r="J164" s="3">
        <v>3767.63</v>
      </c>
      <c r="K164" s="2">
        <v>0.97935352392711017</v>
      </c>
    </row>
    <row r="165" spans="1:11" x14ac:dyDescent="0.25">
      <c r="A165" t="s">
        <v>12</v>
      </c>
      <c r="B165" s="1">
        <v>45536</v>
      </c>
      <c r="C165" s="4">
        <f>YEAR(SalesData[[#This Row],[Date]])</f>
        <v>2024</v>
      </c>
      <c r="D165" s="4" t="str">
        <f>TEXT(SalesData[[#This Row],[Date]],"mmm")</f>
        <v>Sep</v>
      </c>
      <c r="E165">
        <v>24</v>
      </c>
      <c r="F165">
        <v>7</v>
      </c>
      <c r="G165">
        <v>79.62</v>
      </c>
      <c r="H165">
        <v>4</v>
      </c>
      <c r="I165" s="3">
        <v>0.5714285714285714</v>
      </c>
      <c r="J165" s="3">
        <v>1650.69</v>
      </c>
      <c r="K165" s="2">
        <v>0.58375456519139368</v>
      </c>
    </row>
    <row r="166" spans="1:11" x14ac:dyDescent="0.25">
      <c r="A166" t="s">
        <v>13</v>
      </c>
      <c r="B166" s="1">
        <v>45536</v>
      </c>
      <c r="C166" s="4">
        <f>YEAR(SalesData[[#This Row],[Date]])</f>
        <v>2024</v>
      </c>
      <c r="D166" s="4" t="str">
        <f>TEXT(SalesData[[#This Row],[Date]],"mmm")</f>
        <v>Sep</v>
      </c>
      <c r="E166">
        <v>77</v>
      </c>
      <c r="F166">
        <v>11</v>
      </c>
      <c r="G166">
        <v>487.47</v>
      </c>
      <c r="H166">
        <v>4</v>
      </c>
      <c r="I166" s="3">
        <v>0.36363636363636365</v>
      </c>
      <c r="J166" s="3">
        <v>990.89</v>
      </c>
      <c r="K166" s="2">
        <v>0.43846452574063344</v>
      </c>
    </row>
    <row r="167" spans="1:11" x14ac:dyDescent="0.25">
      <c r="A167" t="s">
        <v>14</v>
      </c>
      <c r="B167" s="1">
        <v>45536</v>
      </c>
      <c r="C167" s="4">
        <f>YEAR(SalesData[[#This Row],[Date]])</f>
        <v>2024</v>
      </c>
      <c r="D167" s="4" t="str">
        <f>TEXT(SalesData[[#This Row],[Date]],"mmm")</f>
        <v>Sep</v>
      </c>
      <c r="E167">
        <v>69</v>
      </c>
      <c r="F167">
        <v>7</v>
      </c>
      <c r="G167">
        <v>549.77</v>
      </c>
      <c r="H167">
        <v>2</v>
      </c>
      <c r="I167" s="3">
        <v>0.2857142857142857</v>
      </c>
      <c r="J167" s="3">
        <v>3916.58</v>
      </c>
      <c r="K167" s="2">
        <v>3.071512696303047E-2</v>
      </c>
    </row>
    <row r="168" spans="1:11" x14ac:dyDescent="0.25">
      <c r="A168" t="s">
        <v>15</v>
      </c>
      <c r="B168" s="1">
        <v>45536</v>
      </c>
      <c r="C168" s="4">
        <f>YEAR(SalesData[[#This Row],[Date]])</f>
        <v>2024</v>
      </c>
      <c r="D168" s="4" t="str">
        <f>TEXT(SalesData[[#This Row],[Date]],"mmm")</f>
        <v>Sep</v>
      </c>
      <c r="E168">
        <v>74</v>
      </c>
      <c r="F168">
        <v>18</v>
      </c>
      <c r="G168">
        <v>306.89999999999998</v>
      </c>
      <c r="H168">
        <v>3</v>
      </c>
      <c r="I168" s="3">
        <v>0.16666666666666666</v>
      </c>
      <c r="J168" s="3">
        <v>2254.16</v>
      </c>
      <c r="K168" s="2">
        <v>0.28441603249472847</v>
      </c>
    </row>
    <row r="169" spans="1:11" x14ac:dyDescent="0.25">
      <c r="A169" t="s">
        <v>16</v>
      </c>
      <c r="B169" s="1">
        <v>45536</v>
      </c>
      <c r="C169" s="4">
        <f>YEAR(SalesData[[#This Row],[Date]])</f>
        <v>2024</v>
      </c>
      <c r="D169" s="4" t="str">
        <f>TEXT(SalesData[[#This Row],[Date]],"mmm")</f>
        <v>Sep</v>
      </c>
      <c r="E169">
        <v>26</v>
      </c>
      <c r="F169">
        <v>21</v>
      </c>
      <c r="G169">
        <v>359.51</v>
      </c>
      <c r="H169">
        <v>9</v>
      </c>
      <c r="I169" s="3">
        <v>0.42857142857142855</v>
      </c>
      <c r="J169" s="3">
        <v>1187.3699999999999</v>
      </c>
      <c r="K169" s="2">
        <v>0.14284603094320913</v>
      </c>
    </row>
    <row r="170" spans="1:11" x14ac:dyDescent="0.25">
      <c r="A170" t="s">
        <v>17</v>
      </c>
      <c r="B170" s="1">
        <v>45536</v>
      </c>
      <c r="C170" s="4">
        <f>YEAR(SalesData[[#This Row],[Date]])</f>
        <v>2024</v>
      </c>
      <c r="D170" s="4" t="str">
        <f>TEXT(SalesData[[#This Row],[Date]],"mmm")</f>
        <v>Sep</v>
      </c>
      <c r="E170">
        <v>76</v>
      </c>
      <c r="F170">
        <v>18</v>
      </c>
      <c r="G170">
        <v>339.1</v>
      </c>
      <c r="H170">
        <v>8</v>
      </c>
      <c r="I170" s="3">
        <v>0.44444444444444442</v>
      </c>
      <c r="J170" s="3">
        <v>924.79</v>
      </c>
      <c r="K170" s="2">
        <v>0.31491794790429772</v>
      </c>
    </row>
    <row r="171" spans="1:11" x14ac:dyDescent="0.25">
      <c r="A171" t="s">
        <v>18</v>
      </c>
      <c r="B171" s="1">
        <v>45536</v>
      </c>
      <c r="C171" s="4">
        <f>YEAR(SalesData[[#This Row],[Date]])</f>
        <v>2024</v>
      </c>
      <c r="D171" s="4" t="str">
        <f>TEXT(SalesData[[#This Row],[Date]],"mmm")</f>
        <v>Sep</v>
      </c>
      <c r="E171">
        <v>87</v>
      </c>
      <c r="F171">
        <v>21</v>
      </c>
      <c r="G171">
        <v>633.13</v>
      </c>
      <c r="H171">
        <v>2</v>
      </c>
      <c r="I171" s="3">
        <v>9.5238095238095233E-2</v>
      </c>
      <c r="J171" s="3">
        <v>336.22</v>
      </c>
      <c r="K171" s="2">
        <v>0.53993246456067112</v>
      </c>
    </row>
    <row r="172" spans="1:11" x14ac:dyDescent="0.25">
      <c r="A172" t="s">
        <v>19</v>
      </c>
      <c r="B172" s="1">
        <v>45536</v>
      </c>
      <c r="C172" s="4">
        <f>YEAR(SalesData[[#This Row],[Date]])</f>
        <v>2024</v>
      </c>
      <c r="D172" s="4" t="str">
        <f>TEXT(SalesData[[#This Row],[Date]],"mmm")</f>
        <v>Sep</v>
      </c>
      <c r="E172">
        <v>37</v>
      </c>
      <c r="F172">
        <v>8</v>
      </c>
      <c r="G172">
        <v>215.09</v>
      </c>
      <c r="H172">
        <v>2</v>
      </c>
      <c r="I172" s="3">
        <v>0.25</v>
      </c>
      <c r="J172" s="3">
        <v>3424.83</v>
      </c>
      <c r="K172" s="2">
        <v>0.95350027598368026</v>
      </c>
    </row>
    <row r="173" spans="1:11" x14ac:dyDescent="0.25">
      <c r="A173" t="s">
        <v>20</v>
      </c>
      <c r="B173" s="1">
        <v>45536</v>
      </c>
      <c r="C173" s="4">
        <f>YEAR(SalesData[[#This Row],[Date]])</f>
        <v>2024</v>
      </c>
      <c r="D173" s="4" t="str">
        <f>TEXT(SalesData[[#This Row],[Date]],"mmm")</f>
        <v>Sep</v>
      </c>
      <c r="E173">
        <v>81</v>
      </c>
      <c r="F173">
        <v>5</v>
      </c>
      <c r="G173">
        <v>153.5</v>
      </c>
      <c r="H173">
        <v>2</v>
      </c>
      <c r="I173" s="3">
        <v>0.4</v>
      </c>
      <c r="J173" s="3">
        <v>1307.47</v>
      </c>
      <c r="K173" s="2">
        <v>0.71425325883104218</v>
      </c>
    </row>
    <row r="174" spans="1:11" x14ac:dyDescent="0.25">
      <c r="A174" t="s">
        <v>21</v>
      </c>
      <c r="B174" s="1">
        <v>45536</v>
      </c>
      <c r="C174" s="4">
        <f>YEAR(SalesData[[#This Row],[Date]])</f>
        <v>2024</v>
      </c>
      <c r="D174" s="4" t="str">
        <f>TEXT(SalesData[[#This Row],[Date]],"mmm")</f>
        <v>Sep</v>
      </c>
      <c r="E174">
        <v>93</v>
      </c>
      <c r="F174">
        <v>5</v>
      </c>
      <c r="G174">
        <v>77.12</v>
      </c>
      <c r="H174">
        <v>2</v>
      </c>
      <c r="I174" s="3">
        <v>0.4</v>
      </c>
      <c r="J174" s="3">
        <v>3483.91</v>
      </c>
      <c r="K174" s="2">
        <v>0.61278339968777318</v>
      </c>
    </row>
    <row r="175" spans="1:11" x14ac:dyDescent="0.25">
      <c r="A175" t="s">
        <v>22</v>
      </c>
      <c r="B175" s="1">
        <v>45536</v>
      </c>
      <c r="C175" s="4">
        <f>YEAR(SalesData[[#This Row],[Date]])</f>
        <v>2024</v>
      </c>
      <c r="D175" s="4" t="str">
        <f>TEXT(SalesData[[#This Row],[Date]],"mmm")</f>
        <v>Sep</v>
      </c>
      <c r="E175">
        <v>86</v>
      </c>
      <c r="F175">
        <v>17</v>
      </c>
      <c r="G175">
        <v>160.88999999999999</v>
      </c>
      <c r="H175">
        <v>4</v>
      </c>
      <c r="I175" s="3">
        <v>0.23529411764705882</v>
      </c>
      <c r="J175" s="3">
        <v>418.33</v>
      </c>
      <c r="K175" s="2">
        <v>0.81795997533291165</v>
      </c>
    </row>
    <row r="176" spans="1:11" x14ac:dyDescent="0.25">
      <c r="A176" t="s">
        <v>23</v>
      </c>
      <c r="B176" s="1">
        <v>45536</v>
      </c>
      <c r="C176" s="4">
        <f>YEAR(SalesData[[#This Row],[Date]])</f>
        <v>2024</v>
      </c>
      <c r="D176" s="4" t="str">
        <f>TEXT(SalesData[[#This Row],[Date]],"mmm")</f>
        <v>Sep</v>
      </c>
      <c r="E176">
        <v>72</v>
      </c>
      <c r="F176">
        <v>11</v>
      </c>
      <c r="G176">
        <v>459.86</v>
      </c>
      <c r="H176">
        <v>0</v>
      </c>
      <c r="I176" s="3">
        <v>0</v>
      </c>
      <c r="J176" s="3">
        <v>1269.5999999999999</v>
      </c>
      <c r="K176" s="2">
        <v>0.80284159731598048</v>
      </c>
    </row>
    <row r="177" spans="1:11" x14ac:dyDescent="0.25">
      <c r="A177" t="s">
        <v>24</v>
      </c>
      <c r="B177" s="1">
        <v>45536</v>
      </c>
      <c r="C177" s="4">
        <f>YEAR(SalesData[[#This Row],[Date]])</f>
        <v>2024</v>
      </c>
      <c r="D177" s="4" t="str">
        <f>TEXT(SalesData[[#This Row],[Date]],"mmm")</f>
        <v>Sep</v>
      </c>
      <c r="E177">
        <v>18</v>
      </c>
      <c r="F177">
        <v>13</v>
      </c>
      <c r="G177">
        <v>290.14</v>
      </c>
      <c r="H177">
        <v>2</v>
      </c>
      <c r="I177" s="3">
        <v>0.15384615384615385</v>
      </c>
      <c r="J177" s="3">
        <v>1444.65</v>
      </c>
      <c r="K177" s="2">
        <v>4.6639664877318521E-2</v>
      </c>
    </row>
    <row r="178" spans="1:11" x14ac:dyDescent="0.25">
      <c r="A178" t="s">
        <v>25</v>
      </c>
      <c r="B178" s="1">
        <v>45536</v>
      </c>
      <c r="C178" s="4">
        <f>YEAR(SalesData[[#This Row],[Date]])</f>
        <v>2024</v>
      </c>
      <c r="D178" s="4" t="str">
        <f>TEXT(SalesData[[#This Row],[Date]],"mmm")</f>
        <v>Sep</v>
      </c>
      <c r="E178">
        <v>75</v>
      </c>
      <c r="F178">
        <v>8</v>
      </c>
      <c r="G178">
        <v>177.88</v>
      </c>
      <c r="H178">
        <v>7</v>
      </c>
      <c r="I178" s="3">
        <v>0.875</v>
      </c>
      <c r="J178" s="3">
        <v>507.1</v>
      </c>
      <c r="K178" s="2">
        <v>0.42672647866328439</v>
      </c>
    </row>
    <row r="179" spans="1:11" x14ac:dyDescent="0.25">
      <c r="A179" t="s">
        <v>26</v>
      </c>
      <c r="B179" s="1">
        <v>45536</v>
      </c>
      <c r="C179" s="4">
        <f>YEAR(SalesData[[#This Row],[Date]])</f>
        <v>2024</v>
      </c>
      <c r="D179" s="4" t="str">
        <f>TEXT(SalesData[[#This Row],[Date]],"mmm")</f>
        <v>Sep</v>
      </c>
      <c r="E179">
        <v>98</v>
      </c>
      <c r="F179">
        <v>12</v>
      </c>
      <c r="G179">
        <v>406.95</v>
      </c>
      <c r="H179">
        <v>0</v>
      </c>
      <c r="I179" s="3">
        <v>0</v>
      </c>
      <c r="J179" s="3">
        <v>2978.09</v>
      </c>
      <c r="K179" s="2">
        <v>6.521306568638896E-2</v>
      </c>
    </row>
    <row r="180" spans="1:11" x14ac:dyDescent="0.25">
      <c r="A180" t="s">
        <v>27</v>
      </c>
      <c r="B180" s="1">
        <v>45536</v>
      </c>
      <c r="C180" s="4">
        <f>YEAR(SalesData[[#This Row],[Date]])</f>
        <v>2024</v>
      </c>
      <c r="D180" s="4" t="str">
        <f>TEXT(SalesData[[#This Row],[Date]],"mmm")</f>
        <v>Sep</v>
      </c>
      <c r="E180">
        <v>33</v>
      </c>
      <c r="F180">
        <v>13</v>
      </c>
      <c r="G180">
        <v>517.1</v>
      </c>
      <c r="H180">
        <v>4</v>
      </c>
      <c r="I180" s="3">
        <v>0.30769230769230771</v>
      </c>
      <c r="J180" s="3">
        <v>250.08</v>
      </c>
      <c r="K180" s="2">
        <v>0.48909946877132082</v>
      </c>
    </row>
    <row r="181" spans="1:11" x14ac:dyDescent="0.25">
      <c r="A181" t="s">
        <v>28</v>
      </c>
      <c r="B181" s="1">
        <v>45536</v>
      </c>
      <c r="C181" s="4">
        <f>YEAR(SalesData[[#This Row],[Date]])</f>
        <v>2024</v>
      </c>
      <c r="D181" s="4" t="str">
        <f>TEXT(SalesData[[#This Row],[Date]],"mmm")</f>
        <v>Sep</v>
      </c>
      <c r="E181">
        <v>35</v>
      </c>
      <c r="F181">
        <v>18</v>
      </c>
      <c r="G181">
        <v>348.92</v>
      </c>
      <c r="H181">
        <v>7</v>
      </c>
      <c r="I181" s="3">
        <v>0.3888888888888889</v>
      </c>
      <c r="J181" s="3">
        <v>4381.3900000000003</v>
      </c>
      <c r="K181" s="2">
        <v>0.4636281883752108</v>
      </c>
    </row>
    <row r="182" spans="1:11" x14ac:dyDescent="0.25">
      <c r="A182" t="s">
        <v>9</v>
      </c>
      <c r="B182" s="1">
        <v>45566</v>
      </c>
      <c r="C182" s="4">
        <f>YEAR(SalesData[[#This Row],[Date]])</f>
        <v>2024</v>
      </c>
      <c r="D182" s="4" t="str">
        <f>TEXT(SalesData[[#This Row],[Date]],"mmm")</f>
        <v>Oct</v>
      </c>
      <c r="E182">
        <v>74</v>
      </c>
      <c r="F182">
        <v>16</v>
      </c>
      <c r="G182">
        <v>308.51</v>
      </c>
      <c r="H182">
        <v>7</v>
      </c>
      <c r="I182" s="3">
        <v>0.4375</v>
      </c>
      <c r="J182" s="3">
        <v>4267.5</v>
      </c>
      <c r="K182" s="2">
        <v>0.75147841668284754</v>
      </c>
    </row>
    <row r="183" spans="1:11" x14ac:dyDescent="0.25">
      <c r="A183" t="s">
        <v>10</v>
      </c>
      <c r="B183" s="1">
        <v>45566</v>
      </c>
      <c r="C183" s="4">
        <f>YEAR(SalesData[[#This Row],[Date]])</f>
        <v>2024</v>
      </c>
      <c r="D183" s="4" t="str">
        <f>TEXT(SalesData[[#This Row],[Date]],"mmm")</f>
        <v>Oct</v>
      </c>
      <c r="E183">
        <v>72</v>
      </c>
      <c r="F183">
        <v>10</v>
      </c>
      <c r="G183">
        <v>362.58</v>
      </c>
      <c r="H183">
        <v>5</v>
      </c>
      <c r="I183" s="3">
        <v>0.5</v>
      </c>
      <c r="J183" s="3">
        <v>3679.65</v>
      </c>
      <c r="K183" s="2">
        <v>8.720453465567013E-2</v>
      </c>
    </row>
    <row r="184" spans="1:11" x14ac:dyDescent="0.25">
      <c r="A184" t="s">
        <v>11</v>
      </c>
      <c r="B184" s="1">
        <v>45566</v>
      </c>
      <c r="C184" s="4">
        <f>YEAR(SalesData[[#This Row],[Date]])</f>
        <v>2024</v>
      </c>
      <c r="D184" s="4" t="str">
        <f>TEXT(SalesData[[#This Row],[Date]],"mmm")</f>
        <v>Oct</v>
      </c>
      <c r="E184">
        <v>58</v>
      </c>
      <c r="F184">
        <v>13</v>
      </c>
      <c r="G184">
        <v>368.06</v>
      </c>
      <c r="H184">
        <v>2</v>
      </c>
      <c r="I184" s="3">
        <v>0.15384615384615385</v>
      </c>
      <c r="J184" s="3">
        <v>3626.22</v>
      </c>
      <c r="K184" s="2">
        <v>0.77947285209683315</v>
      </c>
    </row>
    <row r="185" spans="1:11" x14ac:dyDescent="0.25">
      <c r="A185" t="s">
        <v>12</v>
      </c>
      <c r="B185" s="1">
        <v>45566</v>
      </c>
      <c r="C185" s="4">
        <f>YEAR(SalesData[[#This Row],[Date]])</f>
        <v>2024</v>
      </c>
      <c r="D185" s="4" t="str">
        <f>TEXT(SalesData[[#This Row],[Date]],"mmm")</f>
        <v>Oct</v>
      </c>
      <c r="E185">
        <v>22</v>
      </c>
      <c r="F185">
        <v>7</v>
      </c>
      <c r="G185">
        <v>74.680000000000007</v>
      </c>
      <c r="H185">
        <v>4</v>
      </c>
      <c r="I185" s="3">
        <v>0.5714285714285714</v>
      </c>
      <c r="J185" s="3">
        <v>1543.72</v>
      </c>
      <c r="K185" s="2">
        <v>0.11921985367076804</v>
      </c>
    </row>
    <row r="186" spans="1:11" x14ac:dyDescent="0.25">
      <c r="A186" t="s">
        <v>13</v>
      </c>
      <c r="B186" s="1">
        <v>45566</v>
      </c>
      <c r="C186" s="4">
        <f>YEAR(SalesData[[#This Row],[Date]])</f>
        <v>2024</v>
      </c>
      <c r="D186" s="4" t="str">
        <f>TEXT(SalesData[[#This Row],[Date]],"mmm")</f>
        <v>Oct</v>
      </c>
      <c r="E186">
        <v>74</v>
      </c>
      <c r="F186">
        <v>15</v>
      </c>
      <c r="G186">
        <v>460.2</v>
      </c>
      <c r="H186">
        <v>4</v>
      </c>
      <c r="I186" s="3">
        <v>0.26666666666666666</v>
      </c>
      <c r="J186" s="3">
        <v>980.1</v>
      </c>
      <c r="K186" s="2">
        <v>0.72329697931764669</v>
      </c>
    </row>
    <row r="187" spans="1:11" x14ac:dyDescent="0.25">
      <c r="A187" t="s">
        <v>14</v>
      </c>
      <c r="B187" s="1">
        <v>45566</v>
      </c>
      <c r="C187" s="4">
        <f>YEAR(SalesData[[#This Row],[Date]])</f>
        <v>2024</v>
      </c>
      <c r="D187" s="4" t="str">
        <f>TEXT(SalesData[[#This Row],[Date]],"mmm")</f>
        <v>Oct</v>
      </c>
      <c r="E187">
        <v>62</v>
      </c>
      <c r="F187">
        <v>8</v>
      </c>
      <c r="G187">
        <v>540.79999999999995</v>
      </c>
      <c r="H187">
        <v>3</v>
      </c>
      <c r="I187" s="3">
        <v>0.375</v>
      </c>
      <c r="J187" s="3">
        <v>3928.71</v>
      </c>
      <c r="K187" s="2">
        <v>0.7251880972295911</v>
      </c>
    </row>
    <row r="188" spans="1:11" x14ac:dyDescent="0.25">
      <c r="A188" t="s">
        <v>15</v>
      </c>
      <c r="B188" s="1">
        <v>45566</v>
      </c>
      <c r="C188" s="4">
        <f>YEAR(SalesData[[#This Row],[Date]])</f>
        <v>2024</v>
      </c>
      <c r="D188" s="4" t="str">
        <f>TEXT(SalesData[[#This Row],[Date]],"mmm")</f>
        <v>Oct</v>
      </c>
      <c r="E188">
        <v>70</v>
      </c>
      <c r="F188">
        <v>21</v>
      </c>
      <c r="G188">
        <v>319.62</v>
      </c>
      <c r="H188">
        <v>3</v>
      </c>
      <c r="I188" s="3">
        <v>0.14285714285714285</v>
      </c>
      <c r="J188" s="3">
        <v>2486.2199999999998</v>
      </c>
      <c r="K188" s="2">
        <v>6.5900055032659388E-3</v>
      </c>
    </row>
    <row r="189" spans="1:11" x14ac:dyDescent="0.25">
      <c r="A189" t="s">
        <v>16</v>
      </c>
      <c r="B189" s="1">
        <v>45566</v>
      </c>
      <c r="C189" s="4">
        <f>YEAR(SalesData[[#This Row],[Date]])</f>
        <v>2024</v>
      </c>
      <c r="D189" s="4" t="str">
        <f>TEXT(SalesData[[#This Row],[Date]],"mmm")</f>
        <v>Oct</v>
      </c>
      <c r="E189">
        <v>32</v>
      </c>
      <c r="F189">
        <v>16</v>
      </c>
      <c r="G189">
        <v>393.04</v>
      </c>
      <c r="H189">
        <v>7</v>
      </c>
      <c r="I189" s="3">
        <v>0.4375</v>
      </c>
      <c r="J189" s="3">
        <v>1286.18</v>
      </c>
      <c r="K189" s="2">
        <v>0.61106363440607847</v>
      </c>
    </row>
    <row r="190" spans="1:11" x14ac:dyDescent="0.25">
      <c r="A190" t="s">
        <v>17</v>
      </c>
      <c r="B190" s="1">
        <v>45566</v>
      </c>
      <c r="C190" s="4">
        <f>YEAR(SalesData[[#This Row],[Date]])</f>
        <v>2024</v>
      </c>
      <c r="D190" s="4" t="str">
        <f>TEXT(SalesData[[#This Row],[Date]],"mmm")</f>
        <v>Oct</v>
      </c>
      <c r="E190">
        <v>71</v>
      </c>
      <c r="F190">
        <v>16</v>
      </c>
      <c r="G190">
        <v>323.56</v>
      </c>
      <c r="H190">
        <v>9</v>
      </c>
      <c r="I190" s="3">
        <v>0.5625</v>
      </c>
      <c r="J190" s="3">
        <v>957.05</v>
      </c>
      <c r="K190" s="2">
        <v>0.99588285616445482</v>
      </c>
    </row>
    <row r="191" spans="1:11" x14ac:dyDescent="0.25">
      <c r="A191" t="s">
        <v>18</v>
      </c>
      <c r="B191" s="1">
        <v>45566</v>
      </c>
      <c r="C191" s="4">
        <f>YEAR(SalesData[[#This Row],[Date]])</f>
        <v>2024</v>
      </c>
      <c r="D191" s="4" t="str">
        <f>TEXT(SalesData[[#This Row],[Date]],"mmm")</f>
        <v>Oct</v>
      </c>
      <c r="E191">
        <v>73</v>
      </c>
      <c r="F191">
        <v>17</v>
      </c>
      <c r="G191">
        <v>557.29999999999995</v>
      </c>
      <c r="H191">
        <v>3</v>
      </c>
      <c r="I191" s="3">
        <v>0.17647058823529413</v>
      </c>
      <c r="J191" s="3">
        <v>376.66</v>
      </c>
      <c r="K191" s="2">
        <v>0.57847061556081847</v>
      </c>
    </row>
    <row r="192" spans="1:11" x14ac:dyDescent="0.25">
      <c r="A192" t="s">
        <v>19</v>
      </c>
      <c r="B192" s="1">
        <v>45566</v>
      </c>
      <c r="C192" s="4">
        <f>YEAR(SalesData[[#This Row],[Date]])</f>
        <v>2024</v>
      </c>
      <c r="D192" s="4" t="str">
        <f>TEXT(SalesData[[#This Row],[Date]],"mmm")</f>
        <v>Oct</v>
      </c>
      <c r="E192">
        <v>27</v>
      </c>
      <c r="F192">
        <v>6</v>
      </c>
      <c r="G192">
        <v>202.37</v>
      </c>
      <c r="H192">
        <v>1</v>
      </c>
      <c r="I192" s="3">
        <v>0.16666666666666666</v>
      </c>
      <c r="J192" s="3">
        <v>3781.81</v>
      </c>
      <c r="K192" s="2">
        <v>0.20111740325166239</v>
      </c>
    </row>
    <row r="193" spans="1:11" x14ac:dyDescent="0.25">
      <c r="A193" t="s">
        <v>20</v>
      </c>
      <c r="B193" s="1">
        <v>45566</v>
      </c>
      <c r="C193" s="4">
        <f>YEAR(SalesData[[#This Row],[Date]])</f>
        <v>2024</v>
      </c>
      <c r="D193" s="4" t="str">
        <f>TEXT(SalesData[[#This Row],[Date]],"mmm")</f>
        <v>Oct</v>
      </c>
      <c r="E193">
        <v>106</v>
      </c>
      <c r="F193">
        <v>5</v>
      </c>
      <c r="G193">
        <v>163.38</v>
      </c>
      <c r="H193">
        <v>1</v>
      </c>
      <c r="I193" s="3">
        <v>0.2</v>
      </c>
      <c r="J193" s="3">
        <v>1148.1400000000001</v>
      </c>
      <c r="K193" s="2">
        <v>0.32882989734538204</v>
      </c>
    </row>
    <row r="194" spans="1:11" x14ac:dyDescent="0.25">
      <c r="A194" t="s">
        <v>21</v>
      </c>
      <c r="B194" s="1">
        <v>45566</v>
      </c>
      <c r="C194" s="4">
        <f>YEAR(SalesData[[#This Row],[Date]])</f>
        <v>2024</v>
      </c>
      <c r="D194" s="4" t="str">
        <f>TEXT(SalesData[[#This Row],[Date]],"mmm")</f>
        <v>Oct</v>
      </c>
      <c r="E194">
        <v>102</v>
      </c>
      <c r="F194">
        <v>5</v>
      </c>
      <c r="G194">
        <v>86.37</v>
      </c>
      <c r="H194">
        <v>5</v>
      </c>
      <c r="I194" s="3">
        <v>1</v>
      </c>
      <c r="J194" s="3">
        <v>3851.19</v>
      </c>
      <c r="K194" s="2">
        <v>0.50938073816721441</v>
      </c>
    </row>
    <row r="195" spans="1:11" x14ac:dyDescent="0.25">
      <c r="A195" t="s">
        <v>22</v>
      </c>
      <c r="B195" s="1">
        <v>45566</v>
      </c>
      <c r="C195" s="4">
        <f>YEAR(SalesData[[#This Row],[Date]])</f>
        <v>2024</v>
      </c>
      <c r="D195" s="4" t="str">
        <f>TEXT(SalesData[[#This Row],[Date]],"mmm")</f>
        <v>Oct</v>
      </c>
      <c r="E195">
        <v>104</v>
      </c>
      <c r="F195">
        <v>20</v>
      </c>
      <c r="G195">
        <v>181.9</v>
      </c>
      <c r="H195">
        <v>4</v>
      </c>
      <c r="I195" s="3">
        <v>0.2</v>
      </c>
      <c r="J195" s="3">
        <v>400.92</v>
      </c>
      <c r="K195" s="2">
        <v>6.8844379949109635E-2</v>
      </c>
    </row>
    <row r="196" spans="1:11" x14ac:dyDescent="0.25">
      <c r="A196" t="s">
        <v>23</v>
      </c>
      <c r="B196" s="1">
        <v>45566</v>
      </c>
      <c r="C196" s="4">
        <f>YEAR(SalesData[[#This Row],[Date]])</f>
        <v>2024</v>
      </c>
      <c r="D196" s="4" t="str">
        <f>TEXT(SalesData[[#This Row],[Date]],"mmm")</f>
        <v>Oct</v>
      </c>
      <c r="E196">
        <v>64</v>
      </c>
      <c r="F196">
        <v>15</v>
      </c>
      <c r="G196">
        <v>514.38</v>
      </c>
      <c r="H196">
        <v>0</v>
      </c>
      <c r="I196" s="3">
        <v>0</v>
      </c>
      <c r="J196" s="3">
        <v>1220.5899999999999</v>
      </c>
      <c r="K196" s="2">
        <v>0.61117388803578676</v>
      </c>
    </row>
    <row r="197" spans="1:11" x14ac:dyDescent="0.25">
      <c r="A197" t="s">
        <v>24</v>
      </c>
      <c r="B197" s="1">
        <v>45566</v>
      </c>
      <c r="C197" s="4">
        <f>YEAR(SalesData[[#This Row],[Date]])</f>
        <v>2024</v>
      </c>
      <c r="D197" s="4" t="str">
        <f>TEXT(SalesData[[#This Row],[Date]],"mmm")</f>
        <v>Oct</v>
      </c>
      <c r="E197">
        <v>21</v>
      </c>
      <c r="F197">
        <v>15</v>
      </c>
      <c r="G197">
        <v>309.75</v>
      </c>
      <c r="H197">
        <v>2</v>
      </c>
      <c r="I197" s="3">
        <v>0.13333333333333333</v>
      </c>
      <c r="J197" s="3">
        <v>1649.09</v>
      </c>
      <c r="K197" s="2">
        <v>0.58233509854933674</v>
      </c>
    </row>
    <row r="198" spans="1:11" x14ac:dyDescent="0.25">
      <c r="A198" t="s">
        <v>25</v>
      </c>
      <c r="B198" s="1">
        <v>45566</v>
      </c>
      <c r="C198" s="4">
        <f>YEAR(SalesData[[#This Row],[Date]])</f>
        <v>2024</v>
      </c>
      <c r="D198" s="4" t="str">
        <f>TEXT(SalesData[[#This Row],[Date]],"mmm")</f>
        <v>Oct</v>
      </c>
      <c r="E198">
        <v>63</v>
      </c>
      <c r="F198">
        <v>10</v>
      </c>
      <c r="G198">
        <v>194.21</v>
      </c>
      <c r="H198">
        <v>7</v>
      </c>
      <c r="I198" s="3">
        <v>0.7</v>
      </c>
      <c r="J198" s="3">
        <v>508.84</v>
      </c>
      <c r="K198" s="2">
        <v>0.54367484842445168</v>
      </c>
    </row>
    <row r="199" spans="1:11" x14ac:dyDescent="0.25">
      <c r="A199" t="s">
        <v>26</v>
      </c>
      <c r="B199" s="1">
        <v>45566</v>
      </c>
      <c r="C199" s="4">
        <f>YEAR(SalesData[[#This Row],[Date]])</f>
        <v>2024</v>
      </c>
      <c r="D199" s="4" t="str">
        <f>TEXT(SalesData[[#This Row],[Date]],"mmm")</f>
        <v>Oct</v>
      </c>
      <c r="E199">
        <v>85</v>
      </c>
      <c r="F199">
        <v>15</v>
      </c>
      <c r="G199">
        <v>400.65</v>
      </c>
      <c r="H199">
        <v>0</v>
      </c>
      <c r="I199" s="3">
        <v>0</v>
      </c>
      <c r="J199" s="3">
        <v>2890.62</v>
      </c>
      <c r="K199" s="2">
        <v>0.58305081366740075</v>
      </c>
    </row>
    <row r="200" spans="1:11" x14ac:dyDescent="0.25">
      <c r="A200" t="s">
        <v>27</v>
      </c>
      <c r="B200" s="1">
        <v>45566</v>
      </c>
      <c r="C200" s="4">
        <f>YEAR(SalesData[[#This Row],[Date]])</f>
        <v>2024</v>
      </c>
      <c r="D200" s="4" t="str">
        <f>TEXT(SalesData[[#This Row],[Date]],"mmm")</f>
        <v>Oct</v>
      </c>
      <c r="E200">
        <v>36</v>
      </c>
      <c r="F200">
        <v>10</v>
      </c>
      <c r="G200">
        <v>535.44000000000005</v>
      </c>
      <c r="H200">
        <v>4</v>
      </c>
      <c r="I200" s="3">
        <v>0.4</v>
      </c>
      <c r="J200" s="3">
        <v>241.26</v>
      </c>
      <c r="K200" s="2">
        <v>0.86454345485992501</v>
      </c>
    </row>
    <row r="201" spans="1:11" x14ac:dyDescent="0.25">
      <c r="A201" t="s">
        <v>28</v>
      </c>
      <c r="B201" s="1">
        <v>45566</v>
      </c>
      <c r="C201" s="4">
        <f>YEAR(SalesData[[#This Row],[Date]])</f>
        <v>2024</v>
      </c>
      <c r="D201" s="4" t="str">
        <f>TEXT(SalesData[[#This Row],[Date]],"mmm")</f>
        <v>Oct</v>
      </c>
      <c r="E201">
        <v>34</v>
      </c>
      <c r="F201">
        <v>12</v>
      </c>
      <c r="G201">
        <v>356.4</v>
      </c>
      <c r="H201">
        <v>8</v>
      </c>
      <c r="I201" s="3">
        <v>0.66666666666666663</v>
      </c>
      <c r="J201" s="3">
        <v>4111.76</v>
      </c>
      <c r="K201" s="2">
        <v>0.61691440136142273</v>
      </c>
    </row>
    <row r="202" spans="1:11" x14ac:dyDescent="0.25">
      <c r="A202" t="s">
        <v>9</v>
      </c>
      <c r="B202" s="1">
        <v>45597</v>
      </c>
      <c r="C202" s="4">
        <f>YEAR(SalesData[[#This Row],[Date]])</f>
        <v>2024</v>
      </c>
      <c r="D202" s="4" t="str">
        <f>TEXT(SalesData[[#This Row],[Date]],"mmm")</f>
        <v>Nov</v>
      </c>
      <c r="E202">
        <v>67</v>
      </c>
      <c r="F202">
        <v>12</v>
      </c>
      <c r="G202">
        <v>352.6</v>
      </c>
      <c r="H202">
        <v>6</v>
      </c>
      <c r="I202" s="3">
        <v>0.5</v>
      </c>
      <c r="J202" s="3">
        <v>4402.41</v>
      </c>
      <c r="K202" s="2">
        <v>0.92921508977655798</v>
      </c>
    </row>
    <row r="203" spans="1:11" x14ac:dyDescent="0.25">
      <c r="A203" t="s">
        <v>10</v>
      </c>
      <c r="B203" s="1">
        <v>45597</v>
      </c>
      <c r="C203" s="4">
        <f>YEAR(SalesData[[#This Row],[Date]])</f>
        <v>2024</v>
      </c>
      <c r="D203" s="4" t="str">
        <f>TEXT(SalesData[[#This Row],[Date]],"mmm")</f>
        <v>Nov</v>
      </c>
      <c r="E203">
        <v>76</v>
      </c>
      <c r="F203">
        <v>14</v>
      </c>
      <c r="G203">
        <v>351.42</v>
      </c>
      <c r="H203">
        <v>4</v>
      </c>
      <c r="I203" s="3">
        <v>0.2857142857142857</v>
      </c>
      <c r="J203" s="3">
        <v>3917.99</v>
      </c>
      <c r="K203" s="2">
        <v>0.23991436873754957</v>
      </c>
    </row>
    <row r="204" spans="1:11" x14ac:dyDescent="0.25">
      <c r="A204" t="s">
        <v>11</v>
      </c>
      <c r="B204" s="1">
        <v>45597</v>
      </c>
      <c r="C204" s="4">
        <f>YEAR(SalesData[[#This Row],[Date]])</f>
        <v>2024</v>
      </c>
      <c r="D204" s="4" t="str">
        <f>TEXT(SalesData[[#This Row],[Date]],"mmm")</f>
        <v>Nov</v>
      </c>
      <c r="E204">
        <v>53</v>
      </c>
      <c r="F204">
        <v>17</v>
      </c>
      <c r="G204">
        <v>404.22</v>
      </c>
      <c r="H204">
        <v>2</v>
      </c>
      <c r="I204" s="3">
        <v>0.11764705882352941</v>
      </c>
      <c r="J204" s="3">
        <v>3669.4</v>
      </c>
      <c r="K204" s="2">
        <v>0.75106590289978015</v>
      </c>
    </row>
    <row r="205" spans="1:11" x14ac:dyDescent="0.25">
      <c r="A205" t="s">
        <v>12</v>
      </c>
      <c r="B205" s="1">
        <v>45597</v>
      </c>
      <c r="C205" s="4">
        <f>YEAR(SalesData[[#This Row],[Date]])</f>
        <v>2024</v>
      </c>
      <c r="D205" s="4" t="str">
        <f>TEXT(SalesData[[#This Row],[Date]],"mmm")</f>
        <v>Nov</v>
      </c>
      <c r="E205">
        <v>22</v>
      </c>
      <c r="F205">
        <v>6</v>
      </c>
      <c r="G205">
        <v>80.02</v>
      </c>
      <c r="H205">
        <v>3</v>
      </c>
      <c r="I205" s="3">
        <v>0.5</v>
      </c>
      <c r="J205" s="3">
        <v>1476.69</v>
      </c>
      <c r="K205" s="2">
        <v>0.53167683057281589</v>
      </c>
    </row>
    <row r="206" spans="1:11" x14ac:dyDescent="0.25">
      <c r="A206" t="s">
        <v>13</v>
      </c>
      <c r="B206" s="1">
        <v>45597</v>
      </c>
      <c r="C206" s="4">
        <f>YEAR(SalesData[[#This Row],[Date]])</f>
        <v>2024</v>
      </c>
      <c r="D206" s="4" t="str">
        <f>TEXT(SalesData[[#This Row],[Date]],"mmm")</f>
        <v>Nov</v>
      </c>
      <c r="E206">
        <v>77</v>
      </c>
      <c r="F206">
        <v>16</v>
      </c>
      <c r="G206">
        <v>502.41</v>
      </c>
      <c r="H206">
        <v>5</v>
      </c>
      <c r="I206" s="3">
        <v>0.3125</v>
      </c>
      <c r="J206" s="3">
        <v>1093.75</v>
      </c>
      <c r="K206" s="2">
        <v>0.66477279234749131</v>
      </c>
    </row>
    <row r="207" spans="1:11" x14ac:dyDescent="0.25">
      <c r="A207" t="s">
        <v>14</v>
      </c>
      <c r="B207" s="1">
        <v>45597</v>
      </c>
      <c r="C207" s="4">
        <f>YEAR(SalesData[[#This Row],[Date]])</f>
        <v>2024</v>
      </c>
      <c r="D207" s="4" t="str">
        <f>TEXT(SalesData[[#This Row],[Date]],"mmm")</f>
        <v>Nov</v>
      </c>
      <c r="E207">
        <v>52</v>
      </c>
      <c r="F207">
        <v>6</v>
      </c>
      <c r="G207">
        <v>492.23</v>
      </c>
      <c r="H207">
        <v>2</v>
      </c>
      <c r="I207" s="3">
        <v>0.33333333333333331</v>
      </c>
      <c r="J207" s="3">
        <v>3775.84</v>
      </c>
      <c r="K207" s="2">
        <v>0.76511783801931943</v>
      </c>
    </row>
    <row r="208" spans="1:11" x14ac:dyDescent="0.25">
      <c r="A208" t="s">
        <v>15</v>
      </c>
      <c r="B208" s="1">
        <v>45597</v>
      </c>
      <c r="C208" s="4">
        <f>YEAR(SalesData[[#This Row],[Date]])</f>
        <v>2024</v>
      </c>
      <c r="D208" s="4" t="str">
        <f>TEXT(SalesData[[#This Row],[Date]],"mmm")</f>
        <v>Nov</v>
      </c>
      <c r="E208">
        <v>74</v>
      </c>
      <c r="F208">
        <v>17</v>
      </c>
      <c r="G208">
        <v>284.91000000000003</v>
      </c>
      <c r="H208">
        <v>3</v>
      </c>
      <c r="I208" s="3">
        <v>0.17647058823529413</v>
      </c>
      <c r="J208" s="3">
        <v>2481.64</v>
      </c>
      <c r="K208" s="2">
        <v>0.64727889695138419</v>
      </c>
    </row>
    <row r="209" spans="1:11" x14ac:dyDescent="0.25">
      <c r="A209" t="s">
        <v>16</v>
      </c>
      <c r="B209" s="1">
        <v>45597</v>
      </c>
      <c r="C209" s="4">
        <f>YEAR(SalesData[[#This Row],[Date]])</f>
        <v>2024</v>
      </c>
      <c r="D209" s="4" t="str">
        <f>TEXT(SalesData[[#This Row],[Date]],"mmm")</f>
        <v>Nov</v>
      </c>
      <c r="E209">
        <v>30</v>
      </c>
      <c r="F209">
        <v>21</v>
      </c>
      <c r="G209">
        <v>372.34</v>
      </c>
      <c r="H209">
        <v>7</v>
      </c>
      <c r="I209" s="3">
        <v>0.33333333333333331</v>
      </c>
      <c r="J209" s="3">
        <v>1172.04</v>
      </c>
      <c r="K209" s="2">
        <v>0.31082104214299389</v>
      </c>
    </row>
    <row r="210" spans="1:11" x14ac:dyDescent="0.25">
      <c r="A210" t="s">
        <v>17</v>
      </c>
      <c r="B210" s="1">
        <v>45597</v>
      </c>
      <c r="C210" s="4">
        <f>YEAR(SalesData[[#This Row],[Date]])</f>
        <v>2024</v>
      </c>
      <c r="D210" s="4" t="str">
        <f>TEXT(SalesData[[#This Row],[Date]],"mmm")</f>
        <v>Nov</v>
      </c>
      <c r="E210">
        <v>74</v>
      </c>
      <c r="F210">
        <v>13</v>
      </c>
      <c r="G210">
        <v>324.77999999999997</v>
      </c>
      <c r="H210">
        <v>7</v>
      </c>
      <c r="I210" s="3">
        <v>0.53846153846153844</v>
      </c>
      <c r="J210" s="3">
        <v>995.6</v>
      </c>
      <c r="K210" s="2">
        <v>0.55537797243119924</v>
      </c>
    </row>
    <row r="211" spans="1:11" x14ac:dyDescent="0.25">
      <c r="A211" t="s">
        <v>18</v>
      </c>
      <c r="B211" s="1">
        <v>45597</v>
      </c>
      <c r="C211" s="4">
        <f>YEAR(SalesData[[#This Row],[Date]])</f>
        <v>2024</v>
      </c>
      <c r="D211" s="4" t="str">
        <f>TEXT(SalesData[[#This Row],[Date]],"mmm")</f>
        <v>Nov</v>
      </c>
      <c r="E211">
        <v>59</v>
      </c>
      <c r="F211">
        <v>21</v>
      </c>
      <c r="G211">
        <v>633.37</v>
      </c>
      <c r="H211">
        <v>2</v>
      </c>
      <c r="I211" s="3">
        <v>9.5238095238095233E-2</v>
      </c>
      <c r="J211" s="3">
        <v>358.29</v>
      </c>
      <c r="K211" s="2">
        <v>0.53531141176414865</v>
      </c>
    </row>
    <row r="212" spans="1:11" x14ac:dyDescent="0.25">
      <c r="A212" t="s">
        <v>19</v>
      </c>
      <c r="B212" s="1">
        <v>45597</v>
      </c>
      <c r="C212" s="4">
        <f>YEAR(SalesData[[#This Row],[Date]])</f>
        <v>2024</v>
      </c>
      <c r="D212" s="4" t="str">
        <f>TEXT(SalesData[[#This Row],[Date]],"mmm")</f>
        <v>Nov</v>
      </c>
      <c r="E212">
        <v>30</v>
      </c>
      <c r="F212">
        <v>6</v>
      </c>
      <c r="G212">
        <v>209.84</v>
      </c>
      <c r="H212">
        <v>1</v>
      </c>
      <c r="I212" s="3">
        <v>0.16666666666666666</v>
      </c>
      <c r="J212" s="3">
        <v>3534.1</v>
      </c>
      <c r="K212" s="2">
        <v>0.55834812494215169</v>
      </c>
    </row>
    <row r="213" spans="1:11" x14ac:dyDescent="0.25">
      <c r="A213" t="s">
        <v>20</v>
      </c>
      <c r="B213" s="1">
        <v>45597</v>
      </c>
      <c r="C213" s="4">
        <f>YEAR(SalesData[[#This Row],[Date]])</f>
        <v>2024</v>
      </c>
      <c r="D213" s="4" t="str">
        <f>TEXT(SalesData[[#This Row],[Date]],"mmm")</f>
        <v>Nov</v>
      </c>
      <c r="E213">
        <v>100</v>
      </c>
      <c r="F213">
        <v>6</v>
      </c>
      <c r="G213">
        <v>153.34</v>
      </c>
      <c r="H213">
        <v>3</v>
      </c>
      <c r="I213" s="3">
        <v>0.5</v>
      </c>
      <c r="J213" s="3">
        <v>1248.54</v>
      </c>
      <c r="K213" s="2">
        <v>0.96302221386306475</v>
      </c>
    </row>
    <row r="214" spans="1:11" x14ac:dyDescent="0.25">
      <c r="A214" t="s">
        <v>21</v>
      </c>
      <c r="B214" s="1">
        <v>45597</v>
      </c>
      <c r="C214" s="4">
        <f>YEAR(SalesData[[#This Row],[Date]])</f>
        <v>2024</v>
      </c>
      <c r="D214" s="4" t="str">
        <f>TEXT(SalesData[[#This Row],[Date]],"mmm")</f>
        <v>Nov</v>
      </c>
      <c r="E214">
        <v>81</v>
      </c>
      <c r="F214">
        <v>7</v>
      </c>
      <c r="G214">
        <v>79.62</v>
      </c>
      <c r="H214">
        <v>7</v>
      </c>
      <c r="I214" s="3">
        <v>1</v>
      </c>
      <c r="J214" s="3">
        <v>3892.76</v>
      </c>
      <c r="K214" s="2">
        <v>0.98267045138361975</v>
      </c>
    </row>
    <row r="215" spans="1:11" x14ac:dyDescent="0.25">
      <c r="A215" t="s">
        <v>22</v>
      </c>
      <c r="B215" s="1">
        <v>45597</v>
      </c>
      <c r="C215" s="4">
        <f>YEAR(SalesData[[#This Row],[Date]])</f>
        <v>2024</v>
      </c>
      <c r="D215" s="4" t="str">
        <f>TEXT(SalesData[[#This Row],[Date]],"mmm")</f>
        <v>Nov</v>
      </c>
      <c r="E215">
        <v>96</v>
      </c>
      <c r="F215">
        <v>16</v>
      </c>
      <c r="G215">
        <v>161.69</v>
      </c>
      <c r="H215">
        <v>5</v>
      </c>
      <c r="I215" s="3">
        <v>0.3125</v>
      </c>
      <c r="J215" s="3">
        <v>392.05</v>
      </c>
      <c r="K215" s="2">
        <v>0.10702450582079781</v>
      </c>
    </row>
    <row r="216" spans="1:11" x14ac:dyDescent="0.25">
      <c r="A216" t="s">
        <v>23</v>
      </c>
      <c r="B216" s="1">
        <v>45597</v>
      </c>
      <c r="C216" s="4">
        <f>YEAR(SalesData[[#This Row],[Date]])</f>
        <v>2024</v>
      </c>
      <c r="D216" s="4" t="str">
        <f>TEXT(SalesData[[#This Row],[Date]],"mmm")</f>
        <v>Nov</v>
      </c>
      <c r="E216">
        <v>72</v>
      </c>
      <c r="F216">
        <v>12</v>
      </c>
      <c r="G216">
        <v>474.28</v>
      </c>
      <c r="H216">
        <v>1</v>
      </c>
      <c r="I216" s="3">
        <v>8.3333333333333329E-2</v>
      </c>
      <c r="J216" s="3">
        <v>1097.5999999999999</v>
      </c>
      <c r="K216" s="2">
        <v>0.54166707195523389</v>
      </c>
    </row>
    <row r="217" spans="1:11" x14ac:dyDescent="0.25">
      <c r="A217" t="s">
        <v>24</v>
      </c>
      <c r="B217" s="1">
        <v>45597</v>
      </c>
      <c r="C217" s="4">
        <f>YEAR(SalesData[[#This Row],[Date]])</f>
        <v>2024</v>
      </c>
      <c r="D217" s="4" t="str">
        <f>TEXT(SalesData[[#This Row],[Date]],"mmm")</f>
        <v>Nov</v>
      </c>
      <c r="E217">
        <v>18</v>
      </c>
      <c r="F217">
        <v>15</v>
      </c>
      <c r="G217">
        <v>268.94</v>
      </c>
      <c r="H217">
        <v>1</v>
      </c>
      <c r="I217" s="3">
        <v>6.6666666666666666E-2</v>
      </c>
      <c r="J217" s="3">
        <v>1469.71</v>
      </c>
      <c r="K217" s="2">
        <v>0.57855065139862261</v>
      </c>
    </row>
    <row r="218" spans="1:11" x14ac:dyDescent="0.25">
      <c r="A218" t="s">
        <v>25</v>
      </c>
      <c r="B218" s="1">
        <v>45597</v>
      </c>
      <c r="C218" s="4">
        <f>YEAR(SalesData[[#This Row],[Date]])</f>
        <v>2024</v>
      </c>
      <c r="D218" s="4" t="str">
        <f>TEXT(SalesData[[#This Row],[Date]],"mmm")</f>
        <v>Nov</v>
      </c>
      <c r="E218">
        <v>73</v>
      </c>
      <c r="F218">
        <v>8</v>
      </c>
      <c r="G218">
        <v>182.48</v>
      </c>
      <c r="H218">
        <v>8</v>
      </c>
      <c r="I218" s="3">
        <v>1</v>
      </c>
      <c r="J218" s="3">
        <v>548.46</v>
      </c>
      <c r="K218" s="2">
        <v>0.96204103060529833</v>
      </c>
    </row>
    <row r="219" spans="1:11" x14ac:dyDescent="0.25">
      <c r="A219" t="s">
        <v>26</v>
      </c>
      <c r="B219" s="1">
        <v>45597</v>
      </c>
      <c r="C219" s="4">
        <f>YEAR(SalesData[[#This Row],[Date]])</f>
        <v>2024</v>
      </c>
      <c r="D219" s="4" t="str">
        <f>TEXT(SalesData[[#This Row],[Date]],"mmm")</f>
        <v>Nov</v>
      </c>
      <c r="E219">
        <v>97</v>
      </c>
      <c r="F219">
        <v>14</v>
      </c>
      <c r="G219">
        <v>368.16</v>
      </c>
      <c r="H219">
        <v>0</v>
      </c>
      <c r="I219" s="3">
        <v>0</v>
      </c>
      <c r="J219" s="3">
        <v>3020.19</v>
      </c>
      <c r="K219" s="2">
        <v>0.59274079529609314</v>
      </c>
    </row>
    <row r="220" spans="1:11" x14ac:dyDescent="0.25">
      <c r="A220" t="s">
        <v>27</v>
      </c>
      <c r="B220" s="1">
        <v>45597</v>
      </c>
      <c r="C220" s="4">
        <f>YEAR(SalesData[[#This Row],[Date]])</f>
        <v>2024</v>
      </c>
      <c r="D220" s="4" t="str">
        <f>TEXT(SalesData[[#This Row],[Date]],"mmm")</f>
        <v>Nov</v>
      </c>
      <c r="E220">
        <v>28</v>
      </c>
      <c r="F220">
        <v>12</v>
      </c>
      <c r="G220">
        <v>565.51</v>
      </c>
      <c r="H220">
        <v>4</v>
      </c>
      <c r="I220" s="3">
        <v>0.33333333333333331</v>
      </c>
      <c r="J220" s="3">
        <v>231.16</v>
      </c>
      <c r="K220" s="2">
        <v>3.9371793800327515E-2</v>
      </c>
    </row>
    <row r="221" spans="1:11" x14ac:dyDescent="0.25">
      <c r="A221" t="s">
        <v>28</v>
      </c>
      <c r="B221" s="1">
        <v>45597</v>
      </c>
      <c r="C221" s="4">
        <f>YEAR(SalesData[[#This Row],[Date]])</f>
        <v>2024</v>
      </c>
      <c r="D221" s="4" t="str">
        <f>TEXT(SalesData[[#This Row],[Date]],"mmm")</f>
        <v>Nov</v>
      </c>
      <c r="E221">
        <v>41</v>
      </c>
      <c r="F221">
        <v>13</v>
      </c>
      <c r="G221">
        <v>370.44</v>
      </c>
      <c r="H221">
        <v>9</v>
      </c>
      <c r="I221" s="3">
        <v>0.69230769230769229</v>
      </c>
      <c r="J221" s="3">
        <v>4484.96</v>
      </c>
      <c r="K221" s="2">
        <v>0.87760057695432692</v>
      </c>
    </row>
    <row r="222" spans="1:11" x14ac:dyDescent="0.25">
      <c r="A222" t="s">
        <v>9</v>
      </c>
      <c r="B222" s="1">
        <v>45627</v>
      </c>
      <c r="C222" s="4">
        <f>YEAR(SalesData[[#This Row],[Date]])</f>
        <v>2024</v>
      </c>
      <c r="D222" s="4" t="str">
        <f>TEXT(SalesData[[#This Row],[Date]],"mmm")</f>
        <v>Dec</v>
      </c>
      <c r="E222">
        <v>61</v>
      </c>
      <c r="F222">
        <v>13</v>
      </c>
      <c r="G222">
        <v>356.61</v>
      </c>
      <c r="H222">
        <v>7</v>
      </c>
      <c r="I222" s="3">
        <f t="shared" ref="I222:I241" si="0">H222/F222</f>
        <v>0.53846153846153844</v>
      </c>
      <c r="J222" s="3">
        <v>4099.6400000000003</v>
      </c>
      <c r="K222" s="2">
        <v>0.31090910107427061</v>
      </c>
    </row>
    <row r="223" spans="1:11" x14ac:dyDescent="0.25">
      <c r="A223" t="s">
        <v>10</v>
      </c>
      <c r="B223" s="1">
        <v>45627</v>
      </c>
      <c r="C223" s="4">
        <f>YEAR(SalesData[[#This Row],[Date]])</f>
        <v>2024</v>
      </c>
      <c r="D223" s="4" t="str">
        <f>TEXT(SalesData[[#This Row],[Date]],"mmm")</f>
        <v>Dec</v>
      </c>
      <c r="E223">
        <v>80</v>
      </c>
      <c r="F223">
        <v>13</v>
      </c>
      <c r="G223">
        <v>369.46</v>
      </c>
      <c r="H223">
        <v>4</v>
      </c>
      <c r="I223" s="3">
        <f t="shared" si="0"/>
        <v>0.30769230769230771</v>
      </c>
      <c r="J223" s="3">
        <v>3996.04</v>
      </c>
      <c r="K223" s="2">
        <v>0.10471388209283561</v>
      </c>
    </row>
    <row r="224" spans="1:11" x14ac:dyDescent="0.25">
      <c r="A224" t="s">
        <v>11</v>
      </c>
      <c r="B224" s="1">
        <v>45627</v>
      </c>
      <c r="C224" s="4">
        <f>YEAR(SalesData[[#This Row],[Date]])</f>
        <v>2024</v>
      </c>
      <c r="D224" s="4" t="str">
        <f>TEXT(SalesData[[#This Row],[Date]],"mmm")</f>
        <v>Dec</v>
      </c>
      <c r="E224">
        <v>51</v>
      </c>
      <c r="F224">
        <v>14</v>
      </c>
      <c r="G224">
        <v>419.93</v>
      </c>
      <c r="H224">
        <v>2</v>
      </c>
      <c r="I224" s="3">
        <f t="shared" si="0"/>
        <v>0.14285714285714285</v>
      </c>
      <c r="J224" s="3">
        <v>3543.6</v>
      </c>
      <c r="K224" s="2">
        <v>2.3966922868908225E-2</v>
      </c>
    </row>
    <row r="225" spans="1:11" x14ac:dyDescent="0.25">
      <c r="A225" t="s">
        <v>12</v>
      </c>
      <c r="B225" s="1">
        <v>45627</v>
      </c>
      <c r="C225" s="4">
        <f>YEAR(SalesData[[#This Row],[Date]])</f>
        <v>2024</v>
      </c>
      <c r="D225" s="4" t="str">
        <f>TEXT(SalesData[[#This Row],[Date]],"mmm")</f>
        <v>Dec</v>
      </c>
      <c r="E225">
        <v>20</v>
      </c>
      <c r="F225">
        <v>5</v>
      </c>
      <c r="G225">
        <v>71.41</v>
      </c>
      <c r="H225">
        <v>3</v>
      </c>
      <c r="I225" s="3">
        <f t="shared" si="0"/>
        <v>0.6</v>
      </c>
      <c r="J225" s="3">
        <v>1527.27</v>
      </c>
      <c r="K225" s="2">
        <v>0.84933452739809101</v>
      </c>
    </row>
    <row r="226" spans="1:11" x14ac:dyDescent="0.25">
      <c r="A226" t="s">
        <v>13</v>
      </c>
      <c r="B226" s="1">
        <v>45627</v>
      </c>
      <c r="C226" s="4">
        <f>YEAR(SalesData[[#This Row],[Date]])</f>
        <v>2024</v>
      </c>
      <c r="D226" s="4" t="str">
        <f>TEXT(SalesData[[#This Row],[Date]],"mmm")</f>
        <v>Dec</v>
      </c>
      <c r="E226">
        <v>101</v>
      </c>
      <c r="F226">
        <v>14</v>
      </c>
      <c r="G226">
        <v>503.93</v>
      </c>
      <c r="H226">
        <v>5</v>
      </c>
      <c r="I226" s="3">
        <f t="shared" si="0"/>
        <v>0.35714285714285715</v>
      </c>
      <c r="J226" s="3">
        <v>1116.6099999999999</v>
      </c>
      <c r="K226" s="2">
        <v>5.2099883075777065E-2</v>
      </c>
    </row>
    <row r="227" spans="1:11" x14ac:dyDescent="0.25">
      <c r="A227" t="s">
        <v>14</v>
      </c>
      <c r="B227" s="1">
        <v>45627</v>
      </c>
      <c r="C227" s="4">
        <f>YEAR(SalesData[[#This Row],[Date]])</f>
        <v>2024</v>
      </c>
      <c r="D227" s="4" t="str">
        <f>TEXT(SalesData[[#This Row],[Date]],"mmm")</f>
        <v>Dec</v>
      </c>
      <c r="E227">
        <v>70</v>
      </c>
      <c r="F227">
        <v>6</v>
      </c>
      <c r="G227">
        <v>488.97</v>
      </c>
      <c r="H227">
        <v>3</v>
      </c>
      <c r="I227" s="3">
        <f t="shared" si="0"/>
        <v>0.5</v>
      </c>
      <c r="J227" s="3">
        <v>3767.09</v>
      </c>
      <c r="K227" s="2">
        <v>0.11278348968086582</v>
      </c>
    </row>
    <row r="228" spans="1:11" x14ac:dyDescent="0.25">
      <c r="A228" t="s">
        <v>15</v>
      </c>
      <c r="B228" s="1">
        <v>45627</v>
      </c>
      <c r="C228" s="4">
        <f>YEAR(SalesData[[#This Row],[Date]])</f>
        <v>2024</v>
      </c>
      <c r="D228" s="4" t="str">
        <f>TEXT(SalesData[[#This Row],[Date]],"mmm")</f>
        <v>Dec</v>
      </c>
      <c r="E228">
        <v>84</v>
      </c>
      <c r="F228">
        <v>19</v>
      </c>
      <c r="G228">
        <v>301.2</v>
      </c>
      <c r="H228">
        <v>2</v>
      </c>
      <c r="I228" s="3">
        <f t="shared" si="0"/>
        <v>0.10526315789473684</v>
      </c>
      <c r="J228" s="3">
        <v>2608.4699999999998</v>
      </c>
      <c r="K228" s="2">
        <v>0.87330168682080711</v>
      </c>
    </row>
    <row r="229" spans="1:11" x14ac:dyDescent="0.25">
      <c r="A229" t="s">
        <v>16</v>
      </c>
      <c r="B229" s="1">
        <v>45627</v>
      </c>
      <c r="C229" s="4">
        <f>YEAR(SalesData[[#This Row],[Date]])</f>
        <v>2024</v>
      </c>
      <c r="D229" s="4" t="str">
        <f>TEXT(SalesData[[#This Row],[Date]],"mmm")</f>
        <v>Dec</v>
      </c>
      <c r="E229">
        <v>28</v>
      </c>
      <c r="F229">
        <v>19</v>
      </c>
      <c r="G229">
        <v>352.06</v>
      </c>
      <c r="H229">
        <v>9</v>
      </c>
      <c r="I229" s="3">
        <f t="shared" si="0"/>
        <v>0.47368421052631576</v>
      </c>
      <c r="J229" s="3">
        <v>1107.51</v>
      </c>
      <c r="K229" s="2">
        <v>0.57736436365955957</v>
      </c>
    </row>
    <row r="230" spans="1:11" x14ac:dyDescent="0.25">
      <c r="A230" t="s">
        <v>17</v>
      </c>
      <c r="B230" s="1">
        <v>45627</v>
      </c>
      <c r="C230" s="4">
        <f>YEAR(SalesData[[#This Row],[Date]])</f>
        <v>2024</v>
      </c>
      <c r="D230" s="4" t="str">
        <f>TEXT(SalesData[[#This Row],[Date]],"mmm")</f>
        <v>Dec</v>
      </c>
      <c r="E230">
        <v>69</v>
      </c>
      <c r="F230">
        <v>16</v>
      </c>
      <c r="G230">
        <v>337.7</v>
      </c>
      <c r="H230">
        <v>9</v>
      </c>
      <c r="I230" s="3">
        <f t="shared" si="0"/>
        <v>0.5625</v>
      </c>
      <c r="J230" s="3">
        <v>947.47</v>
      </c>
      <c r="K230" s="2">
        <v>1.484562466895456E-2</v>
      </c>
    </row>
    <row r="231" spans="1:11" x14ac:dyDescent="0.25">
      <c r="A231" t="s">
        <v>18</v>
      </c>
      <c r="B231" s="1">
        <v>45627</v>
      </c>
      <c r="C231" s="4">
        <f>YEAR(SalesData[[#This Row],[Date]])</f>
        <v>2024</v>
      </c>
      <c r="D231" s="4" t="str">
        <f>TEXT(SalesData[[#This Row],[Date]],"mmm")</f>
        <v>Dec</v>
      </c>
      <c r="E231">
        <v>77</v>
      </c>
      <c r="F231">
        <v>16</v>
      </c>
      <c r="G231">
        <v>539.26</v>
      </c>
      <c r="H231">
        <v>3</v>
      </c>
      <c r="I231" s="3">
        <f t="shared" si="0"/>
        <v>0.1875</v>
      </c>
      <c r="J231" s="3">
        <v>379.83</v>
      </c>
      <c r="K231" s="2">
        <v>0.73798795770368697</v>
      </c>
    </row>
    <row r="232" spans="1:11" x14ac:dyDescent="0.25">
      <c r="A232" t="s">
        <v>19</v>
      </c>
      <c r="B232" s="1">
        <v>45627</v>
      </c>
      <c r="C232" s="4">
        <f>YEAR(SalesData[[#This Row],[Date]])</f>
        <v>2024</v>
      </c>
      <c r="D232" s="4" t="str">
        <f>TEXT(SalesData[[#This Row],[Date]],"mmm")</f>
        <v>Dec</v>
      </c>
      <c r="E232">
        <v>31</v>
      </c>
      <c r="F232">
        <v>6</v>
      </c>
      <c r="G232">
        <v>191.66</v>
      </c>
      <c r="H232">
        <v>2</v>
      </c>
      <c r="I232" s="3">
        <f t="shared" si="0"/>
        <v>0.33333333333333331</v>
      </c>
      <c r="J232" s="3">
        <v>3753.06</v>
      </c>
      <c r="K232" s="2">
        <v>0.1650377642900791</v>
      </c>
    </row>
    <row r="233" spans="1:11" x14ac:dyDescent="0.25">
      <c r="A233" t="s">
        <v>20</v>
      </c>
      <c r="B233" s="1">
        <v>45627</v>
      </c>
      <c r="C233" s="4">
        <f>YEAR(SalesData[[#This Row],[Date]])</f>
        <v>2024</v>
      </c>
      <c r="D233" s="4" t="str">
        <f>TEXT(SalesData[[#This Row],[Date]],"mmm")</f>
        <v>Dec</v>
      </c>
      <c r="E233">
        <v>88</v>
      </c>
      <c r="F233">
        <v>5</v>
      </c>
      <c r="G233">
        <v>168.89</v>
      </c>
      <c r="H233">
        <v>3</v>
      </c>
      <c r="I233" s="3">
        <f t="shared" si="0"/>
        <v>0.6</v>
      </c>
      <c r="J233" s="3">
        <v>1153.93</v>
      </c>
      <c r="K233" s="2">
        <v>1.1021788417171607E-2</v>
      </c>
    </row>
    <row r="234" spans="1:11" x14ac:dyDescent="0.25">
      <c r="A234" t="s">
        <v>21</v>
      </c>
      <c r="B234" s="1">
        <v>45627</v>
      </c>
      <c r="C234" s="4">
        <f>YEAR(SalesData[[#This Row],[Date]])</f>
        <v>2024</v>
      </c>
      <c r="D234" s="4" t="str">
        <f>TEXT(SalesData[[#This Row],[Date]],"mmm")</f>
        <v>Dec</v>
      </c>
      <c r="E234">
        <v>74</v>
      </c>
      <c r="F234">
        <v>6</v>
      </c>
      <c r="G234">
        <v>87.83</v>
      </c>
      <c r="H234">
        <v>6</v>
      </c>
      <c r="I234" s="3">
        <f t="shared" si="0"/>
        <v>1</v>
      </c>
      <c r="J234" s="3">
        <v>3741.27</v>
      </c>
      <c r="K234" s="2">
        <v>0.74201939773879189</v>
      </c>
    </row>
    <row r="235" spans="1:11" x14ac:dyDescent="0.25">
      <c r="A235" t="s">
        <v>22</v>
      </c>
      <c r="B235" s="1">
        <v>45627</v>
      </c>
      <c r="C235" s="4">
        <f>YEAR(SalesData[[#This Row],[Date]])</f>
        <v>2024</v>
      </c>
      <c r="D235" s="4" t="str">
        <f>TEXT(SalesData[[#This Row],[Date]],"mmm")</f>
        <v>Dec</v>
      </c>
      <c r="E235">
        <v>99</v>
      </c>
      <c r="F235">
        <v>15</v>
      </c>
      <c r="G235">
        <v>181.12</v>
      </c>
      <c r="H235">
        <v>5</v>
      </c>
      <c r="I235" s="3">
        <f t="shared" si="0"/>
        <v>0.33333333333333331</v>
      </c>
      <c r="J235" s="3">
        <v>454.09</v>
      </c>
      <c r="K235" s="2">
        <v>0.98789042056872323</v>
      </c>
    </row>
    <row r="236" spans="1:11" x14ac:dyDescent="0.25">
      <c r="A236" t="s">
        <v>23</v>
      </c>
      <c r="B236" s="1">
        <v>45627</v>
      </c>
      <c r="C236" s="4">
        <f>YEAR(SalesData[[#This Row],[Date]])</f>
        <v>2024</v>
      </c>
      <c r="D236" s="4" t="str">
        <f>TEXT(SalesData[[#This Row],[Date]],"mmm")</f>
        <v>Dec</v>
      </c>
      <c r="E236">
        <v>74</v>
      </c>
      <c r="F236">
        <v>14</v>
      </c>
      <c r="G236">
        <v>508.85</v>
      </c>
      <c r="H236">
        <v>1</v>
      </c>
      <c r="I236" s="3">
        <f t="shared" si="0"/>
        <v>7.1428571428571425E-2</v>
      </c>
      <c r="J236" s="3">
        <v>1182.6300000000001</v>
      </c>
      <c r="K236" s="2">
        <v>7.0628406852508818E-2</v>
      </c>
    </row>
    <row r="237" spans="1:11" x14ac:dyDescent="0.25">
      <c r="A237" t="s">
        <v>24</v>
      </c>
      <c r="B237" s="1">
        <v>45627</v>
      </c>
      <c r="C237" s="4">
        <f>YEAR(SalesData[[#This Row],[Date]])</f>
        <v>2024</v>
      </c>
      <c r="D237" s="4" t="str">
        <f>TEXT(SalesData[[#This Row],[Date]],"mmm")</f>
        <v>Dec</v>
      </c>
      <c r="E237">
        <v>21</v>
      </c>
      <c r="F237">
        <v>17</v>
      </c>
      <c r="G237">
        <v>297.83999999999997</v>
      </c>
      <c r="H237">
        <v>1</v>
      </c>
      <c r="I237" s="3">
        <f t="shared" si="0"/>
        <v>5.8823529411764705E-2</v>
      </c>
      <c r="J237" s="3">
        <v>1553.7</v>
      </c>
      <c r="K237" s="2">
        <v>0.80749125507937436</v>
      </c>
    </row>
    <row r="238" spans="1:11" x14ac:dyDescent="0.25">
      <c r="A238" t="s">
        <v>25</v>
      </c>
      <c r="B238" s="1">
        <v>45627</v>
      </c>
      <c r="C238" s="4">
        <f>YEAR(SalesData[[#This Row],[Date]])</f>
        <v>2024</v>
      </c>
      <c r="D238" s="4" t="str">
        <f>TEXT(SalesData[[#This Row],[Date]],"mmm")</f>
        <v>Dec</v>
      </c>
      <c r="E238">
        <v>83</v>
      </c>
      <c r="F238">
        <v>9</v>
      </c>
      <c r="G238">
        <v>188.49</v>
      </c>
      <c r="H238">
        <v>7</v>
      </c>
      <c r="I238" s="3">
        <f t="shared" si="0"/>
        <v>0.77777777777777779</v>
      </c>
      <c r="J238" s="3">
        <v>545.09</v>
      </c>
      <c r="K238" s="2">
        <v>0.53113705463547711</v>
      </c>
    </row>
    <row r="239" spans="1:11" x14ac:dyDescent="0.25">
      <c r="A239" t="s">
        <v>26</v>
      </c>
      <c r="B239" s="1">
        <v>45627</v>
      </c>
      <c r="C239" s="4">
        <f>YEAR(SalesData[[#This Row],[Date]])</f>
        <v>2024</v>
      </c>
      <c r="D239" s="4" t="str">
        <f>TEXT(SalesData[[#This Row],[Date]],"mmm")</f>
        <v>Dec</v>
      </c>
      <c r="E239">
        <v>84</v>
      </c>
      <c r="F239">
        <v>14</v>
      </c>
      <c r="G239">
        <v>370.36</v>
      </c>
      <c r="H239">
        <v>0</v>
      </c>
      <c r="I239" s="3">
        <f t="shared" si="0"/>
        <v>0</v>
      </c>
      <c r="J239" s="3">
        <v>2605.02</v>
      </c>
      <c r="K239" s="2">
        <v>2.387633344994422E-2</v>
      </c>
    </row>
    <row r="240" spans="1:11" x14ac:dyDescent="0.25">
      <c r="A240" t="s">
        <v>27</v>
      </c>
      <c r="B240" s="1">
        <v>45627</v>
      </c>
      <c r="C240" s="4">
        <f>YEAR(SalesData[[#This Row],[Date]])</f>
        <v>2024</v>
      </c>
      <c r="D240" s="4" t="str">
        <f>TEXT(SalesData[[#This Row],[Date]],"mmm")</f>
        <v>Dec</v>
      </c>
      <c r="E240">
        <v>32</v>
      </c>
      <c r="F240">
        <v>10</v>
      </c>
      <c r="G240">
        <v>500.83</v>
      </c>
      <c r="H240">
        <v>4</v>
      </c>
      <c r="I240" s="3">
        <f t="shared" si="0"/>
        <v>0.4</v>
      </c>
      <c r="J240" s="3">
        <v>239.13</v>
      </c>
      <c r="K240" s="2">
        <v>0.35065663980268691</v>
      </c>
    </row>
    <row r="241" spans="1:11" x14ac:dyDescent="0.25">
      <c r="A241" t="s">
        <v>28</v>
      </c>
      <c r="B241" s="1">
        <v>45627</v>
      </c>
      <c r="C241" s="4">
        <f>YEAR(SalesData[[#This Row],[Date]])</f>
        <v>2024</v>
      </c>
      <c r="D241" s="4" t="str">
        <f>TEXT(SalesData[[#This Row],[Date]],"mmm")</f>
        <v>Dec</v>
      </c>
      <c r="E241">
        <v>39</v>
      </c>
      <c r="F241">
        <v>15</v>
      </c>
      <c r="G241">
        <v>319.08999999999997</v>
      </c>
      <c r="H241">
        <v>7</v>
      </c>
      <c r="I241" s="3">
        <f t="shared" si="0"/>
        <v>0.46666666666666667</v>
      </c>
      <c r="J241" s="3">
        <v>4573.5</v>
      </c>
      <c r="K241" s="2">
        <v>0.20171177533867091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A574-8AEE-4E14-896E-59F56D110499}">
  <dimension ref="A1:Z30"/>
  <sheetViews>
    <sheetView showGridLines="0" topLeftCell="M1" workbookViewId="0">
      <selection activeCell="Z4" sqref="Z4"/>
    </sheetView>
  </sheetViews>
  <sheetFormatPr defaultRowHeight="15" x14ac:dyDescent="0.25"/>
  <cols>
    <col min="1" max="1" width="17.42578125" bestFit="1" customWidth="1"/>
    <col min="2" max="2" width="7.28515625" bestFit="1" customWidth="1"/>
    <col min="3" max="3" width="20.85546875" bestFit="1" customWidth="1"/>
    <col min="4" max="4" width="8.5703125" customWidth="1"/>
    <col min="5" max="5" width="20" bestFit="1" customWidth="1"/>
    <col min="6" max="6" width="2.85546875" customWidth="1"/>
    <col min="7" max="7" width="20.42578125" bestFit="1" customWidth="1"/>
    <col min="8" max="8" width="2.28515625" style="8" customWidth="1"/>
    <col min="9" max="9" width="13.42578125" bestFit="1" customWidth="1"/>
    <col min="10" max="10" width="20.42578125" bestFit="1" customWidth="1"/>
    <col min="11" max="11" width="4" customWidth="1"/>
    <col min="12" max="12" width="13.42578125" bestFit="1" customWidth="1"/>
    <col min="13" max="13" width="20.85546875" bestFit="1" customWidth="1"/>
    <col min="14" max="14" width="20" bestFit="1" customWidth="1"/>
    <col min="15" max="15" width="5.7109375" customWidth="1"/>
    <col min="16" max="16" width="13.42578125" bestFit="1" customWidth="1"/>
    <col min="17" max="17" width="32" bestFit="1" customWidth="1"/>
    <col min="18" max="18" width="6.42578125" customWidth="1"/>
    <col min="19" max="19" width="13.42578125" bestFit="1" customWidth="1"/>
    <col min="20" max="20" width="27.85546875" bestFit="1" customWidth="1"/>
    <col min="21" max="21" width="2.28515625" style="8" customWidth="1"/>
    <col min="22" max="22" width="9.42578125" bestFit="1" customWidth="1"/>
    <col min="23" max="23" width="7.28515625" bestFit="1" customWidth="1"/>
    <col min="25" max="25" width="14.42578125" bestFit="1" customWidth="1"/>
  </cols>
  <sheetData>
    <row r="1" spans="1:26" ht="34.5" x14ac:dyDescent="0.55000000000000004">
      <c r="A1" s="18" t="s">
        <v>39</v>
      </c>
      <c r="B1" s="18"/>
      <c r="C1" s="18"/>
      <c r="D1" s="18"/>
      <c r="E1" s="18"/>
      <c r="F1" s="18"/>
      <c r="G1" s="18"/>
      <c r="I1" s="18" t="s">
        <v>1</v>
      </c>
      <c r="J1" s="18"/>
      <c r="K1" s="18"/>
      <c r="L1" s="18"/>
      <c r="M1" s="18"/>
      <c r="N1" s="18"/>
      <c r="O1" s="18"/>
      <c r="P1" s="18"/>
      <c r="Q1" s="18"/>
      <c r="R1" s="18"/>
      <c r="S1" s="18"/>
      <c r="T1" s="18"/>
    </row>
    <row r="3" spans="1:26" x14ac:dyDescent="0.25">
      <c r="A3" s="7" t="s">
        <v>35</v>
      </c>
      <c r="B3" s="6"/>
      <c r="C3" s="7" t="s">
        <v>36</v>
      </c>
      <c r="D3" s="6"/>
      <c r="E3" s="7" t="s">
        <v>37</v>
      </c>
      <c r="F3" s="6"/>
      <c r="G3" s="7" t="s">
        <v>38</v>
      </c>
      <c r="I3" s="16" t="s">
        <v>53</v>
      </c>
      <c r="J3" s="17"/>
      <c r="L3" s="19" t="s">
        <v>58</v>
      </c>
      <c r="M3" s="19"/>
      <c r="N3" s="19"/>
      <c r="P3" s="16" t="s">
        <v>54</v>
      </c>
      <c r="Q3" s="17"/>
      <c r="S3" s="16" t="s">
        <v>56</v>
      </c>
      <c r="T3" s="17"/>
      <c r="V3" t="s">
        <v>62</v>
      </c>
      <c r="W3" t="s">
        <v>63</v>
      </c>
      <c r="Y3" t="s">
        <v>65</v>
      </c>
      <c r="Z3">
        <f>COUNTA(_xlfn.ANCHORARRAY(V4))</f>
        <v>20</v>
      </c>
    </row>
    <row r="4" spans="1:26" x14ac:dyDescent="0.25">
      <c r="V4" t="str" cm="1">
        <f t="array" ref="V4:V23">_xlfn.UNIQUE(SalesData[Name])</f>
        <v>Evan</v>
      </c>
      <c r="W4" t="s">
        <v>60</v>
      </c>
      <c r="Y4" t="s">
        <v>66</v>
      </c>
      <c r="Z4" cm="1">
        <f t="array" ref="Z4">COUNTA(_xlfn._xlws.FILTER(_xlfn.ANCHORARRAY($V$4),$W$4:$W$23="F"))</f>
        <v>6</v>
      </c>
    </row>
    <row r="5" spans="1:26" x14ac:dyDescent="0.25">
      <c r="A5" t="s">
        <v>31</v>
      </c>
      <c r="C5" t="s">
        <v>32</v>
      </c>
      <c r="E5" t="s">
        <v>33</v>
      </c>
      <c r="G5" t="s">
        <v>34</v>
      </c>
      <c r="I5" s="5" t="s">
        <v>40</v>
      </c>
      <c r="J5" t="s">
        <v>34</v>
      </c>
      <c r="L5" s="5" t="s">
        <v>40</v>
      </c>
      <c r="M5" t="s">
        <v>32</v>
      </c>
      <c r="N5" t="s">
        <v>33</v>
      </c>
      <c r="P5" s="5" t="s">
        <v>40</v>
      </c>
      <c r="Q5" t="s">
        <v>55</v>
      </c>
      <c r="S5" s="5" t="s">
        <v>40</v>
      </c>
      <c r="T5" t="s">
        <v>57</v>
      </c>
      <c r="V5" t="str">
        <v>Alice</v>
      </c>
      <c r="W5" t="s">
        <v>61</v>
      </c>
      <c r="Y5" t="s">
        <v>67</v>
      </c>
      <c r="Z5" cm="1">
        <f t="array" ref="Z5">COUNTA(_xlfn._xlws.FILTER(_xlfn.ANCHORARRAY($V$4),$W$4:$W$23="M"))</f>
        <v>14</v>
      </c>
    </row>
    <row r="6" spans="1:26" x14ac:dyDescent="0.25">
      <c r="A6" s="4">
        <v>14808</v>
      </c>
      <c r="C6" s="4">
        <v>3016</v>
      </c>
      <c r="E6" s="4">
        <v>976</v>
      </c>
      <c r="G6" s="14">
        <v>509204.77999999997</v>
      </c>
      <c r="I6" s="9" t="s">
        <v>41</v>
      </c>
      <c r="J6" s="12">
        <v>41958.350000000006</v>
      </c>
      <c r="L6" s="9" t="s">
        <v>41</v>
      </c>
      <c r="M6" s="4">
        <v>247</v>
      </c>
      <c r="N6" s="4">
        <v>87</v>
      </c>
      <c r="P6" s="9" t="s">
        <v>41</v>
      </c>
      <c r="Q6" s="10">
        <v>332.55300000000005</v>
      </c>
      <c r="S6" s="9" t="s">
        <v>41</v>
      </c>
      <c r="T6" s="11">
        <v>0.49954379562797557</v>
      </c>
      <c r="V6" t="str">
        <v>Diana</v>
      </c>
      <c r="W6" t="s">
        <v>61</v>
      </c>
    </row>
    <row r="7" spans="1:26" x14ac:dyDescent="0.25">
      <c r="I7" s="9" t="s">
        <v>42</v>
      </c>
      <c r="J7" s="12">
        <v>42481.460000000006</v>
      </c>
      <c r="L7" s="9" t="s">
        <v>42</v>
      </c>
      <c r="M7" s="4">
        <v>262</v>
      </c>
      <c r="N7" s="4">
        <v>88</v>
      </c>
      <c r="P7" s="9" t="s">
        <v>42</v>
      </c>
      <c r="Q7" s="10">
        <v>328.76349999999996</v>
      </c>
      <c r="S7" s="9" t="s">
        <v>42</v>
      </c>
      <c r="T7" s="11">
        <v>0.5082166347203696</v>
      </c>
      <c r="V7" t="str">
        <v>Jake</v>
      </c>
      <c r="W7" t="s">
        <v>60</v>
      </c>
    </row>
    <row r="8" spans="1:26" x14ac:dyDescent="0.25">
      <c r="I8" s="9" t="s">
        <v>43</v>
      </c>
      <c r="J8" s="12">
        <v>43231.490000000005</v>
      </c>
      <c r="L8" s="9" t="s">
        <v>43</v>
      </c>
      <c r="M8" s="4">
        <v>250</v>
      </c>
      <c r="N8" s="4">
        <v>82</v>
      </c>
      <c r="P8" s="9" t="s">
        <v>43</v>
      </c>
      <c r="Q8" s="10">
        <v>332.97200000000004</v>
      </c>
      <c r="S8" s="9" t="s">
        <v>43</v>
      </c>
      <c r="T8" s="11">
        <v>0.51573703555999184</v>
      </c>
      <c r="V8" t="str">
        <v>Liam</v>
      </c>
      <c r="W8" t="s">
        <v>60</v>
      </c>
    </row>
    <row r="9" spans="1:26" x14ac:dyDescent="0.25">
      <c r="A9" s="16" t="s">
        <v>64</v>
      </c>
      <c r="B9" s="17"/>
      <c r="E9" t="s">
        <v>65</v>
      </c>
      <c r="I9" s="9" t="s">
        <v>44</v>
      </c>
      <c r="J9" s="12">
        <v>42593.179999999993</v>
      </c>
      <c r="L9" s="9" t="s">
        <v>44</v>
      </c>
      <c r="M9" s="4">
        <v>247</v>
      </c>
      <c r="N9" s="4">
        <v>84</v>
      </c>
      <c r="P9" s="9" t="s">
        <v>44</v>
      </c>
      <c r="Q9" s="10">
        <v>337.24149999999997</v>
      </c>
      <c r="S9" s="9" t="s">
        <v>44</v>
      </c>
      <c r="T9" s="11">
        <v>0.44341810774787993</v>
      </c>
      <c r="V9" t="str">
        <v>Bob</v>
      </c>
      <c r="W9" t="s">
        <v>60</v>
      </c>
    </row>
    <row r="10" spans="1:26" x14ac:dyDescent="0.25">
      <c r="A10" t="s">
        <v>62</v>
      </c>
      <c r="B10" t="s">
        <v>63</v>
      </c>
      <c r="E10" t="s">
        <v>66</v>
      </c>
      <c r="I10" s="9" t="s">
        <v>45</v>
      </c>
      <c r="J10" s="12">
        <v>41922.54</v>
      </c>
      <c r="L10" s="9" t="s">
        <v>45</v>
      </c>
      <c r="M10" s="4">
        <v>258</v>
      </c>
      <c r="N10" s="4">
        <v>81</v>
      </c>
      <c r="P10" s="9" t="s">
        <v>45</v>
      </c>
      <c r="Q10" s="10">
        <v>335.28550000000001</v>
      </c>
      <c r="S10" s="9" t="s">
        <v>45</v>
      </c>
      <c r="T10" s="11">
        <v>0.49615620659903248</v>
      </c>
      <c r="V10" t="str">
        <v>Rick</v>
      </c>
      <c r="W10" t="s">
        <v>60</v>
      </c>
    </row>
    <row r="11" spans="1:26" x14ac:dyDescent="0.25">
      <c r="A11" t="str" cm="1">
        <f t="array" ref="A11:A30">_xlfn.UNIQUE(SalesData[Name])</f>
        <v>Evan</v>
      </c>
      <c r="B11" t="s">
        <v>60</v>
      </c>
      <c r="E11" t="s">
        <v>67</v>
      </c>
      <c r="I11" s="9" t="s">
        <v>46</v>
      </c>
      <c r="J11" s="12">
        <v>41840.680000000008</v>
      </c>
      <c r="L11" s="9" t="s">
        <v>46</v>
      </c>
      <c r="M11" s="4">
        <v>256</v>
      </c>
      <c r="N11" s="4">
        <v>81</v>
      </c>
      <c r="P11" s="9" t="s">
        <v>46</v>
      </c>
      <c r="Q11" s="10">
        <v>331.73149999999998</v>
      </c>
      <c r="S11" s="9" t="s">
        <v>46</v>
      </c>
      <c r="T11" s="11">
        <v>0.54659289247543996</v>
      </c>
      <c r="V11" t="str">
        <v>Molly</v>
      </c>
      <c r="W11" t="s">
        <v>61</v>
      </c>
    </row>
    <row r="12" spans="1:26" x14ac:dyDescent="0.25">
      <c r="A12" t="str">
        <v>Alice</v>
      </c>
      <c r="B12" t="s">
        <v>61</v>
      </c>
      <c r="I12" s="9" t="s">
        <v>47</v>
      </c>
      <c r="J12" s="12">
        <v>41886.849999999991</v>
      </c>
      <c r="L12" s="9" t="s">
        <v>47</v>
      </c>
      <c r="M12" s="4">
        <v>242</v>
      </c>
      <c r="N12" s="4">
        <v>82</v>
      </c>
      <c r="P12" s="9" t="s">
        <v>47</v>
      </c>
      <c r="Q12" s="10">
        <v>328.43450000000001</v>
      </c>
      <c r="S12" s="9" t="s">
        <v>47</v>
      </c>
      <c r="T12" s="11">
        <v>0.54069812299497932</v>
      </c>
      <c r="V12" t="str">
        <v>Chris</v>
      </c>
      <c r="W12" t="s">
        <v>60</v>
      </c>
    </row>
    <row r="13" spans="1:26" x14ac:dyDescent="0.25">
      <c r="A13" t="str">
        <v>Diana</v>
      </c>
      <c r="B13" t="s">
        <v>61</v>
      </c>
      <c r="I13" s="9" t="s">
        <v>48</v>
      </c>
      <c r="J13" s="12">
        <v>42025.91</v>
      </c>
      <c r="L13" s="9" t="s">
        <v>48</v>
      </c>
      <c r="M13" s="4">
        <v>249</v>
      </c>
      <c r="N13" s="4">
        <v>71</v>
      </c>
      <c r="P13" s="9" t="s">
        <v>48</v>
      </c>
      <c r="Q13" s="10">
        <v>332.95249999999999</v>
      </c>
      <c r="S13" s="9" t="s">
        <v>48</v>
      </c>
      <c r="T13" s="11">
        <v>0.59060018105991241</v>
      </c>
      <c r="V13" t="str">
        <v>Paul</v>
      </c>
      <c r="W13" t="s">
        <v>60</v>
      </c>
    </row>
    <row r="14" spans="1:26" x14ac:dyDescent="0.25">
      <c r="A14" t="str">
        <v>Jake</v>
      </c>
      <c r="B14" t="s">
        <v>60</v>
      </c>
      <c r="I14" s="9" t="s">
        <v>49</v>
      </c>
      <c r="J14" s="12">
        <v>42169.960000000006</v>
      </c>
      <c r="L14" s="9" t="s">
        <v>49</v>
      </c>
      <c r="M14" s="4">
        <v>255</v>
      </c>
      <c r="N14" s="4">
        <v>78</v>
      </c>
      <c r="P14" s="9" t="s">
        <v>49</v>
      </c>
      <c r="Q14" s="10">
        <v>333.73699999999997</v>
      </c>
      <c r="S14" s="9" t="s">
        <v>49</v>
      </c>
      <c r="T14" s="11">
        <v>0.50336975671174822</v>
      </c>
      <c r="V14" t="str">
        <v>Ian</v>
      </c>
      <c r="W14" t="s">
        <v>60</v>
      </c>
    </row>
    <row r="15" spans="1:26" x14ac:dyDescent="0.25">
      <c r="A15" t="str">
        <v>Liam</v>
      </c>
      <c r="B15" t="s">
        <v>60</v>
      </c>
      <c r="I15" s="9" t="s">
        <v>50</v>
      </c>
      <c r="J15" s="12">
        <v>42936.229999999996</v>
      </c>
      <c r="L15" s="9" t="s">
        <v>50</v>
      </c>
      <c r="M15" s="4">
        <v>252</v>
      </c>
      <c r="N15" s="4">
        <v>79</v>
      </c>
      <c r="P15" s="9" t="s">
        <v>50</v>
      </c>
      <c r="Q15" s="10">
        <v>332.65999999999997</v>
      </c>
      <c r="S15" s="9" t="s">
        <v>50</v>
      </c>
      <c r="T15" s="11">
        <v>0.51438663844498334</v>
      </c>
      <c r="V15" t="str">
        <v>Alex</v>
      </c>
      <c r="W15" t="s">
        <v>60</v>
      </c>
    </row>
    <row r="16" spans="1:26" x14ac:dyDescent="0.25">
      <c r="A16" t="str">
        <v>Bob</v>
      </c>
      <c r="B16" t="s">
        <v>60</v>
      </c>
      <c r="I16" s="9" t="s">
        <v>51</v>
      </c>
      <c r="J16" s="12">
        <v>43263.180000000008</v>
      </c>
      <c r="L16" s="9" t="s">
        <v>51</v>
      </c>
      <c r="M16" s="4">
        <v>252</v>
      </c>
      <c r="N16" s="4">
        <v>80</v>
      </c>
      <c r="P16" s="9" t="s">
        <v>51</v>
      </c>
      <c r="Q16" s="10">
        <v>331.62999999999994</v>
      </c>
      <c r="S16" s="9" t="s">
        <v>51</v>
      </c>
      <c r="T16" s="11">
        <v>0.60667946808313877</v>
      </c>
      <c r="V16" t="str">
        <v>Karol</v>
      </c>
      <c r="W16" t="s">
        <v>61</v>
      </c>
    </row>
    <row r="17" spans="1:23" x14ac:dyDescent="0.25">
      <c r="A17" t="str">
        <v>Rick</v>
      </c>
      <c r="B17" t="s">
        <v>60</v>
      </c>
      <c r="I17" s="9" t="s">
        <v>52</v>
      </c>
      <c r="J17" s="12">
        <v>42894.94999999999</v>
      </c>
      <c r="L17" s="9" t="s">
        <v>52</v>
      </c>
      <c r="M17" s="4">
        <v>246</v>
      </c>
      <c r="N17" s="4">
        <v>83</v>
      </c>
      <c r="P17" s="9" t="s">
        <v>52</v>
      </c>
      <c r="Q17" s="10">
        <v>327.77449999999999</v>
      </c>
      <c r="S17" s="9" t="s">
        <v>52</v>
      </c>
      <c r="T17" s="11">
        <v>0.37743891376085925</v>
      </c>
      <c r="V17" t="str">
        <v>Will</v>
      </c>
      <c r="W17" t="s">
        <v>60</v>
      </c>
    </row>
    <row r="18" spans="1:23" x14ac:dyDescent="0.25">
      <c r="A18" t="str">
        <v>Molly</v>
      </c>
      <c r="B18" t="s">
        <v>61</v>
      </c>
      <c r="V18" t="str">
        <v>Vicky</v>
      </c>
      <c r="W18" t="s">
        <v>60</v>
      </c>
    </row>
    <row r="19" spans="1:23" x14ac:dyDescent="0.25">
      <c r="A19" t="str">
        <v>Chris</v>
      </c>
      <c r="B19" t="s">
        <v>60</v>
      </c>
      <c r="P19" t="str" cm="1">
        <f t="array" ref="P19:Q30">P6:Q17</f>
        <v>Jan</v>
      </c>
      <c r="Q19" s="10">
        <v>332.55300000000005</v>
      </c>
      <c r="S19" t="str" cm="1">
        <f t="array" ref="S19:T30">S6:T17</f>
        <v>Jan</v>
      </c>
      <c r="T19" s="15">
        <v>0.49954379562797557</v>
      </c>
      <c r="V19" t="str">
        <v>Grace</v>
      </c>
      <c r="W19" t="s">
        <v>61</v>
      </c>
    </row>
    <row r="20" spans="1:23" x14ac:dyDescent="0.25">
      <c r="A20" t="str">
        <v>Paul</v>
      </c>
      <c r="B20" t="s">
        <v>60</v>
      </c>
      <c r="P20" t="str">
        <v>Feb</v>
      </c>
      <c r="Q20" s="10">
        <v>328.76349999999996</v>
      </c>
      <c r="S20" t="str">
        <v>Feb</v>
      </c>
      <c r="T20" s="15">
        <v>0.5082166347203696</v>
      </c>
      <c r="V20" t="str">
        <v>Josh</v>
      </c>
      <c r="W20" t="s">
        <v>60</v>
      </c>
    </row>
    <row r="21" spans="1:23" x14ac:dyDescent="0.25">
      <c r="A21" t="str">
        <v>Ian</v>
      </c>
      <c r="B21" t="s">
        <v>60</v>
      </c>
      <c r="P21" t="str">
        <v>Mar</v>
      </c>
      <c r="Q21" s="10">
        <v>332.97200000000004</v>
      </c>
      <c r="S21" t="str">
        <v>Mar</v>
      </c>
      <c r="T21" s="15">
        <v>0.51573703555999184</v>
      </c>
      <c r="V21" t="str">
        <v>Craig</v>
      </c>
      <c r="W21" t="s">
        <v>60</v>
      </c>
    </row>
    <row r="22" spans="1:23" x14ac:dyDescent="0.25">
      <c r="A22" t="str">
        <v>Alex</v>
      </c>
      <c r="B22" t="s">
        <v>60</v>
      </c>
      <c r="P22" t="str">
        <v>Apr</v>
      </c>
      <c r="Q22" s="10">
        <v>337.24149999999997</v>
      </c>
      <c r="S22" t="str">
        <v>Apr</v>
      </c>
      <c r="T22" s="15">
        <v>0.44341810774787993</v>
      </c>
      <c r="V22" t="str">
        <v>David</v>
      </c>
      <c r="W22" t="s">
        <v>60</v>
      </c>
    </row>
    <row r="23" spans="1:23" x14ac:dyDescent="0.25">
      <c r="A23" t="str">
        <v>Karol</v>
      </c>
      <c r="B23" t="s">
        <v>61</v>
      </c>
      <c r="P23" t="str">
        <v>May</v>
      </c>
      <c r="Q23" s="10">
        <v>335.28550000000001</v>
      </c>
      <c r="S23" t="str">
        <v>May</v>
      </c>
      <c r="T23" s="15">
        <v>0.49615620659903248</v>
      </c>
      <c r="V23" t="str">
        <v>Mimi</v>
      </c>
      <c r="W23" t="s">
        <v>61</v>
      </c>
    </row>
    <row r="24" spans="1:23" x14ac:dyDescent="0.25">
      <c r="A24" t="str">
        <v>Will</v>
      </c>
      <c r="B24" t="s">
        <v>60</v>
      </c>
      <c r="P24" t="str">
        <v>Jun</v>
      </c>
      <c r="Q24" s="10">
        <v>331.73149999999998</v>
      </c>
      <c r="S24" t="str">
        <v>Jun</v>
      </c>
      <c r="T24" s="15">
        <v>0.54659289247543996</v>
      </c>
    </row>
    <row r="25" spans="1:23" x14ac:dyDescent="0.25">
      <c r="A25" t="str">
        <v>Vicky</v>
      </c>
      <c r="B25" t="s">
        <v>60</v>
      </c>
      <c r="P25" t="str">
        <v>Jul</v>
      </c>
      <c r="Q25" s="10">
        <v>328.43450000000001</v>
      </c>
      <c r="S25" t="str">
        <v>Jul</v>
      </c>
      <c r="T25" s="15">
        <v>0.54069812299497932</v>
      </c>
    </row>
    <row r="26" spans="1:23" x14ac:dyDescent="0.25">
      <c r="A26" t="str">
        <v>Grace</v>
      </c>
      <c r="B26" t="s">
        <v>61</v>
      </c>
      <c r="P26" t="str">
        <v>Aug</v>
      </c>
      <c r="Q26" s="10">
        <v>332.95249999999999</v>
      </c>
      <c r="S26" t="str">
        <v>Aug</v>
      </c>
      <c r="T26" s="15">
        <v>0.59060018105991241</v>
      </c>
    </row>
    <row r="27" spans="1:23" x14ac:dyDescent="0.25">
      <c r="A27" t="str">
        <v>Josh</v>
      </c>
      <c r="B27" t="s">
        <v>60</v>
      </c>
      <c r="P27" t="str">
        <v>Sep</v>
      </c>
      <c r="Q27" s="10">
        <v>333.73699999999997</v>
      </c>
      <c r="S27" t="str">
        <v>Sep</v>
      </c>
      <c r="T27" s="15">
        <v>0.50336975671174822</v>
      </c>
    </row>
    <row r="28" spans="1:23" x14ac:dyDescent="0.25">
      <c r="A28" t="str">
        <v>Craig</v>
      </c>
      <c r="B28" t="s">
        <v>60</v>
      </c>
      <c r="P28" t="str">
        <v>Oct</v>
      </c>
      <c r="Q28" s="10">
        <v>332.65999999999997</v>
      </c>
      <c r="S28" t="str">
        <v>Oct</v>
      </c>
      <c r="T28" s="15">
        <v>0.51438663844498334</v>
      </c>
    </row>
    <row r="29" spans="1:23" x14ac:dyDescent="0.25">
      <c r="A29" t="str">
        <v>David</v>
      </c>
      <c r="B29" t="s">
        <v>60</v>
      </c>
      <c r="P29" t="str">
        <v>Nov</v>
      </c>
      <c r="Q29" s="10">
        <v>331.62999999999994</v>
      </c>
      <c r="S29" t="str">
        <v>Nov</v>
      </c>
      <c r="T29" s="15">
        <v>0.60667946808313877</v>
      </c>
    </row>
    <row r="30" spans="1:23" x14ac:dyDescent="0.25">
      <c r="A30" t="str">
        <v>Mimi</v>
      </c>
      <c r="B30" t="s">
        <v>61</v>
      </c>
      <c r="P30" t="str">
        <v>Dec</v>
      </c>
      <c r="Q30" s="10">
        <v>327.77449999999999</v>
      </c>
      <c r="S30" t="str">
        <v>Dec</v>
      </c>
      <c r="T30" s="15">
        <v>0.37743891376085925</v>
      </c>
    </row>
  </sheetData>
  <mergeCells count="7">
    <mergeCell ref="A9:B9"/>
    <mergeCell ref="P3:Q3"/>
    <mergeCell ref="S3:T3"/>
    <mergeCell ref="I1:T1"/>
    <mergeCell ref="A1:G1"/>
    <mergeCell ref="I3:J3"/>
    <mergeCell ref="L3:N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7968-2181-465B-9671-73F15395808F}">
  <dimension ref="O8:R31"/>
  <sheetViews>
    <sheetView showGridLines="0" tabSelected="1" topLeftCell="F1" zoomScaleNormal="100" workbookViewId="0">
      <selection activeCell="S6" sqref="S6"/>
    </sheetView>
  </sheetViews>
  <sheetFormatPr defaultRowHeight="15" x14ac:dyDescent="0.25"/>
  <cols>
    <col min="16" max="16" width="8.140625" customWidth="1"/>
    <col min="17" max="17" width="12.7109375" customWidth="1"/>
    <col min="18" max="18" width="27" customWidth="1"/>
    <col min="19" max="19" width="20.85546875" bestFit="1" customWidth="1"/>
    <col min="20" max="20" width="20" bestFit="1" customWidth="1"/>
    <col min="21" max="21" width="20.42578125" bestFit="1" customWidth="1"/>
  </cols>
  <sheetData>
    <row r="8" spans="15:18" ht="21" customHeight="1" x14ac:dyDescent="0.25"/>
    <row r="9" spans="15:18" ht="15" customHeight="1" x14ac:dyDescent="0.25">
      <c r="O9" s="20" t="s">
        <v>59</v>
      </c>
      <c r="P9" s="20"/>
      <c r="Q9" s="20"/>
      <c r="R9" s="20"/>
    </row>
    <row r="10" spans="15:18" ht="15" customHeight="1" x14ac:dyDescent="0.25">
      <c r="O10" s="20"/>
      <c r="P10" s="20"/>
      <c r="Q10" s="20"/>
      <c r="R10" s="20"/>
    </row>
    <row r="11" spans="15:18" ht="15" customHeight="1" x14ac:dyDescent="0.25">
      <c r="O11" s="13" t="s">
        <v>40</v>
      </c>
      <c r="P11" s="13" t="s">
        <v>32</v>
      </c>
      <c r="Q11" s="13" t="s">
        <v>33</v>
      </c>
      <c r="R11" s="13" t="s">
        <v>34</v>
      </c>
    </row>
    <row r="12" spans="15:18" x14ac:dyDescent="0.25">
      <c r="O12" s="9" t="s">
        <v>20</v>
      </c>
      <c r="P12" s="21">
        <v>61</v>
      </c>
      <c r="Q12" s="21">
        <v>40</v>
      </c>
      <c r="R12" s="22">
        <v>14672.969999999998</v>
      </c>
    </row>
    <row r="13" spans="15:18" x14ac:dyDescent="0.25">
      <c r="O13" s="9" t="s">
        <v>10</v>
      </c>
      <c r="P13" s="21">
        <v>141</v>
      </c>
      <c r="Q13" s="21">
        <v>53</v>
      </c>
      <c r="R13" s="22">
        <v>45196.26</v>
      </c>
    </row>
    <row r="14" spans="15:18" x14ac:dyDescent="0.25">
      <c r="O14" s="9" t="s">
        <v>14</v>
      </c>
      <c r="P14" s="21">
        <v>79</v>
      </c>
      <c r="Q14" s="21">
        <v>31</v>
      </c>
      <c r="R14" s="22">
        <v>43859.520000000004</v>
      </c>
    </row>
    <row r="15" spans="15:18" x14ac:dyDescent="0.25">
      <c r="O15" s="9" t="s">
        <v>17</v>
      </c>
      <c r="P15" s="21">
        <v>184</v>
      </c>
      <c r="Q15" s="21">
        <v>100</v>
      </c>
      <c r="R15" s="22">
        <v>12040.489999999998</v>
      </c>
    </row>
    <row r="16" spans="15:18" x14ac:dyDescent="0.25">
      <c r="O16" s="9" t="s">
        <v>26</v>
      </c>
      <c r="P16" s="21">
        <v>173</v>
      </c>
      <c r="Q16" s="21">
        <v>4</v>
      </c>
      <c r="R16" s="22">
        <v>34781.939999999995</v>
      </c>
    </row>
    <row r="17" spans="15:18" x14ac:dyDescent="0.25">
      <c r="O17" s="9" t="s">
        <v>27</v>
      </c>
      <c r="P17" s="21">
        <v>130</v>
      </c>
      <c r="Q17" s="21">
        <v>52</v>
      </c>
      <c r="R17" s="22">
        <v>2829.58</v>
      </c>
    </row>
    <row r="18" spans="15:18" x14ac:dyDescent="0.25">
      <c r="O18" s="9" t="s">
        <v>11</v>
      </c>
      <c r="P18" s="21">
        <v>177</v>
      </c>
      <c r="Q18" s="21">
        <v>28</v>
      </c>
      <c r="R18" s="22">
        <v>42137.53</v>
      </c>
    </row>
    <row r="19" spans="15:18" x14ac:dyDescent="0.25">
      <c r="O19" s="9" t="s">
        <v>9</v>
      </c>
      <c r="P19" s="21">
        <v>181</v>
      </c>
      <c r="Q19" s="21">
        <v>77</v>
      </c>
      <c r="R19" s="22">
        <v>49041</v>
      </c>
    </row>
    <row r="20" spans="15:18" x14ac:dyDescent="0.25">
      <c r="O20" s="9" t="s">
        <v>24</v>
      </c>
      <c r="P20" s="21">
        <v>172</v>
      </c>
      <c r="Q20" s="21">
        <v>17</v>
      </c>
      <c r="R20" s="22">
        <v>18659.18</v>
      </c>
    </row>
    <row r="21" spans="15:18" x14ac:dyDescent="0.25">
      <c r="O21" s="9" t="s">
        <v>19</v>
      </c>
      <c r="P21" s="21">
        <v>87</v>
      </c>
      <c r="Q21" s="21">
        <v>18</v>
      </c>
      <c r="R21" s="22">
        <v>45591.429999999993</v>
      </c>
    </row>
    <row r="22" spans="15:18" x14ac:dyDescent="0.25">
      <c r="O22" s="9" t="s">
        <v>12</v>
      </c>
      <c r="P22" s="21">
        <v>80</v>
      </c>
      <c r="Q22" s="21">
        <v>40</v>
      </c>
      <c r="R22" s="22">
        <v>18368.47</v>
      </c>
    </row>
    <row r="23" spans="15:18" x14ac:dyDescent="0.25">
      <c r="O23" s="9" t="s">
        <v>25</v>
      </c>
      <c r="P23" s="21">
        <v>99</v>
      </c>
      <c r="Q23" s="21">
        <v>84</v>
      </c>
      <c r="R23" s="22">
        <v>6133.4100000000008</v>
      </c>
    </row>
    <row r="24" spans="15:18" x14ac:dyDescent="0.25">
      <c r="O24" s="9" t="s">
        <v>21</v>
      </c>
      <c r="P24" s="21">
        <v>76</v>
      </c>
      <c r="Q24" s="21">
        <v>64</v>
      </c>
      <c r="R24" s="22">
        <v>45365.2</v>
      </c>
    </row>
    <row r="25" spans="15:18" x14ac:dyDescent="0.25">
      <c r="O25" s="9" t="s">
        <v>13</v>
      </c>
      <c r="P25" s="21">
        <v>166</v>
      </c>
      <c r="Q25" s="21">
        <v>55</v>
      </c>
      <c r="R25" s="22">
        <v>12143.710000000001</v>
      </c>
    </row>
    <row r="26" spans="15:18" x14ac:dyDescent="0.25">
      <c r="O26" s="9" t="s">
        <v>28</v>
      </c>
      <c r="P26" s="21">
        <v>184</v>
      </c>
      <c r="Q26" s="21">
        <v>92</v>
      </c>
      <c r="R26" s="22">
        <v>50524.4</v>
      </c>
    </row>
    <row r="27" spans="15:18" x14ac:dyDescent="0.25">
      <c r="O27" s="9" t="s">
        <v>16</v>
      </c>
      <c r="P27" s="21">
        <v>217</v>
      </c>
      <c r="Q27" s="21">
        <v>103</v>
      </c>
      <c r="R27" s="22">
        <v>14209.390000000001</v>
      </c>
    </row>
    <row r="28" spans="15:18" x14ac:dyDescent="0.25">
      <c r="O28" s="9" t="s">
        <v>18</v>
      </c>
      <c r="P28" s="21">
        <v>225</v>
      </c>
      <c r="Q28" s="21">
        <v>30</v>
      </c>
      <c r="R28" s="22">
        <v>4278.2</v>
      </c>
    </row>
    <row r="29" spans="15:18" x14ac:dyDescent="0.25">
      <c r="O29" s="9" t="s">
        <v>15</v>
      </c>
      <c r="P29" s="21">
        <v>218</v>
      </c>
      <c r="Q29" s="21">
        <v>30</v>
      </c>
      <c r="R29" s="22">
        <v>29842.950000000004</v>
      </c>
    </row>
    <row r="30" spans="15:18" x14ac:dyDescent="0.25">
      <c r="O30" s="9" t="s">
        <v>23</v>
      </c>
      <c r="P30" s="21">
        <v>154</v>
      </c>
      <c r="Q30" s="21">
        <v>4</v>
      </c>
      <c r="R30" s="22">
        <v>14526.439999999999</v>
      </c>
    </row>
    <row r="31" spans="15:18" x14ac:dyDescent="0.25">
      <c r="O31" s="9" t="s">
        <v>22</v>
      </c>
      <c r="P31" s="21">
        <v>212</v>
      </c>
      <c r="Q31" s="21">
        <v>54</v>
      </c>
      <c r="R31" s="22">
        <v>5002.7100000000009</v>
      </c>
    </row>
  </sheetData>
  <mergeCells count="1">
    <mergeCell ref="O9:R10"/>
  </mergeCells>
  <conditionalFormatting pivot="1" sqref="P12:P31">
    <cfRule type="dataBar" priority="3">
      <dataBar>
        <cfvo type="min"/>
        <cfvo type="max"/>
        <color rgb="FFFFB628"/>
      </dataBar>
      <extLst>
        <ext xmlns:x14="http://schemas.microsoft.com/office/spreadsheetml/2009/9/main" uri="{B025F937-C7B1-47D3-B67F-A62EFF666E3E}">
          <x14:id>{B0837FD6-338E-4876-8946-4A371C4D4376}</x14:id>
        </ext>
      </extLst>
    </cfRule>
  </conditionalFormatting>
  <conditionalFormatting pivot="1" sqref="Q12:Q31">
    <cfRule type="dataBar" priority="2">
      <dataBar>
        <cfvo type="min"/>
        <cfvo type="max"/>
        <color rgb="FF63C384"/>
      </dataBar>
      <extLst>
        <ext xmlns:x14="http://schemas.microsoft.com/office/spreadsheetml/2009/9/main" uri="{B025F937-C7B1-47D3-B67F-A62EFF666E3E}">
          <x14:id>{7CB38F72-79B8-44B8-897B-D18C495D432F}</x14:id>
        </ext>
      </extLst>
    </cfRule>
  </conditionalFormatting>
  <conditionalFormatting pivot="1" sqref="R12:R31">
    <cfRule type="dataBar" priority="1">
      <dataBar>
        <cfvo type="min"/>
        <cfvo type="max"/>
        <color rgb="FF008AEF"/>
      </dataBar>
      <extLst>
        <ext xmlns:x14="http://schemas.microsoft.com/office/spreadsheetml/2009/9/main" uri="{B025F937-C7B1-47D3-B67F-A62EFF666E3E}">
          <x14:id>{75FD1382-ED60-4AA5-96A4-88D5B4AACD8D}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B0837FD6-338E-4876-8946-4A371C4D4376}">
            <x14:dataBar minLength="0" maxLength="100" border="1" negativeBarBorderColorSameAsPositive="0">
              <x14:cfvo type="autoMin"/>
              <x14:cfvo type="autoMax"/>
              <x14:borderColor rgb="FFFFB628"/>
              <x14:negativeFillColor rgb="FFFF0000"/>
              <x14:negativeBorderColor rgb="FFFF0000"/>
              <x14:axisColor rgb="FF000000"/>
            </x14:dataBar>
          </x14:cfRule>
          <xm:sqref>P12:P31</xm:sqref>
        </x14:conditionalFormatting>
        <x14:conditionalFormatting xmlns:xm="http://schemas.microsoft.com/office/excel/2006/main" pivot="1">
          <x14:cfRule type="dataBar" id="{7CB38F72-79B8-44B8-897B-D18C495D432F}">
            <x14:dataBar minLength="0" maxLength="100" border="1" negativeBarBorderColorSameAsPositive="0">
              <x14:cfvo type="autoMin"/>
              <x14:cfvo type="autoMax"/>
              <x14:borderColor rgb="FF63C384"/>
              <x14:negativeFillColor rgb="FFFF0000"/>
              <x14:negativeBorderColor rgb="FFFF0000"/>
              <x14:axisColor rgb="FF000000"/>
            </x14:dataBar>
          </x14:cfRule>
          <xm:sqref>Q12:Q31</xm:sqref>
        </x14:conditionalFormatting>
        <x14:conditionalFormatting xmlns:xm="http://schemas.microsoft.com/office/excel/2006/main" pivot="1">
          <x14:cfRule type="dataBar" id="{75FD1382-ED60-4AA5-96A4-88D5B4AACD8D}">
            <x14:dataBar minLength="0" maxLength="100" border="1" negativeBarBorderColorSameAsPositive="0">
              <x14:cfvo type="autoMin"/>
              <x14:cfvo type="autoMax"/>
              <x14:borderColor rgb="FF008AEF"/>
              <x14:negativeFillColor rgb="FFFF0000"/>
              <x14:negativeBorderColor rgb="FFFF0000"/>
              <x14:axisColor rgb="FF000000"/>
            </x14:dataBar>
          </x14:cfRule>
          <xm:sqref>R12:R31</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9FF88A-080F-487A-BC90-1A2AA3E7E609}">
  <ds:schemaRefs>
    <ds:schemaRef ds:uri="http://schemas.microsoft.com/sharepoint/v3/contenttype/forms"/>
  </ds:schemaRefs>
</ds:datastoreItem>
</file>

<file path=customXml/itemProps2.xml><?xml version="1.0" encoding="utf-8"?>
<ds:datastoreItem xmlns:ds="http://schemas.openxmlformats.org/officeDocument/2006/customXml" ds:itemID="{B437BB5B-B771-465B-8585-92421EF4A524}">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3.xml><?xml version="1.0" encoding="utf-8"?>
<ds:datastoreItem xmlns:ds="http://schemas.openxmlformats.org/officeDocument/2006/customXml" ds:itemID="{0CC5A261-868D-45AF-B3A2-424E9807F0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2025-03-05T09:51:09Z</dcterms:created>
  <dcterms:modified xsi:type="dcterms:W3CDTF">2026-04-17T05:13:39Z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