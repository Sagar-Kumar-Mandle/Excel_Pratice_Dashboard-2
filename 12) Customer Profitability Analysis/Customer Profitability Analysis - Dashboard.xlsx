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D:\VCE\Sagar BCC\2) Pratice Project Dashboard\1) Excel\13) Sales Profit &amp; Customer Metrics\"/>
    </mc:Choice>
  </mc:AlternateContent>
  <xr:revisionPtr revIDLastSave="0" documentId="13_ncr:1_{57FE8EDA-3B28-4CF5-A1DB-ABD564B93033}" xr6:coauthVersionLast="47" xr6:coauthVersionMax="47" xr10:uidLastSave="{00000000-0000-0000-0000-000000000000}"/>
  <bookViews>
    <workbookView xWindow="-120" yWindow="-120" windowWidth="20730" windowHeight="11160" activeTab="2" xr2:uid="{BCE64C4F-A7B2-411A-A9BF-D7BB2C6F11BB}"/>
  </bookViews>
  <sheets>
    <sheet name="Data" sheetId="1" r:id="rId1"/>
    <sheet name="Pivot" sheetId="2" r:id="rId2"/>
    <sheet name="Dashboard" sheetId="3" r:id="rId3"/>
  </sheets>
  <definedNames>
    <definedName name="_xlchart.v2.0" hidden="1">Pivot!$V$13:$V$17</definedName>
    <definedName name="_xlchart.v2.1" hidden="1">Pivot!$W$13:$W$17</definedName>
    <definedName name="Slicer_Country">#N/A</definedName>
    <definedName name="Slicer_Customer_Satisfaction">#N/A</definedName>
    <definedName name="Slicer_Month">#N/A</definedName>
    <definedName name="Slicer_Region">#N/A</definedName>
  </definedNames>
  <calcPr calcId="191029" concurrentCalc="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 i="2" l="1"/>
  <c r="F10" i="2"/>
  <c r="V13" i="2" a="1"/>
  <c r="V13" i="2"/>
  <c r="S13" i="2" a="1"/>
  <c r="S13" i="2"/>
  <c r="P13" i="2" a="1"/>
  <c r="P13" i="2"/>
  <c r="B20" i="2"/>
  <c r="B21" i="2"/>
  <c r="B17" i="2"/>
  <c r="B18" i="2"/>
  <c r="B14" i="2"/>
  <c r="B15"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<sst xmlns="http://schemas.openxmlformats.org/spreadsheetml/2006/main" count="282" uniqueCount="64">
  <si>
    <t>Date</t>
  </si>
  <si>
    <t>Region</t>
  </si>
  <si>
    <t>Sales</t>
  </si>
  <si>
    <t>Profit</t>
  </si>
  <si>
    <t>Target Sales</t>
  </si>
  <si>
    <t>No of Customers</t>
  </si>
  <si>
    <t>Sales Completion Rate</t>
  </si>
  <si>
    <t>Profit Completion Rate</t>
  </si>
  <si>
    <t>Customer Completion Rate</t>
  </si>
  <si>
    <t>Country</t>
  </si>
  <si>
    <t>Customer Satisfaction</t>
  </si>
  <si>
    <t>Score</t>
  </si>
  <si>
    <t>East</t>
  </si>
  <si>
    <t>Argentina</t>
  </si>
  <si>
    <t>Speed</t>
  </si>
  <si>
    <t>West</t>
  </si>
  <si>
    <t>Colombia</t>
  </si>
  <si>
    <t>Quality</t>
  </si>
  <si>
    <t>South</t>
  </si>
  <si>
    <t>Brazil</t>
  </si>
  <si>
    <t>Hygiene</t>
  </si>
  <si>
    <t>Ecuador</t>
  </si>
  <si>
    <t>Peru</t>
  </si>
  <si>
    <t>Service</t>
  </si>
  <si>
    <t>North</t>
  </si>
  <si>
    <t>Availability</t>
  </si>
  <si>
    <t>Month</t>
  </si>
  <si>
    <t>Year</t>
  </si>
  <si>
    <t>Row Labels</t>
  </si>
  <si>
    <t>Sum of Sales</t>
  </si>
  <si>
    <t>Sum of Target Sales</t>
  </si>
  <si>
    <t>Total Sales</t>
  </si>
  <si>
    <t>Total Target Sales</t>
  </si>
  <si>
    <t>Sum of Profit</t>
  </si>
  <si>
    <t>Total Profit</t>
  </si>
  <si>
    <t>Sum of No of Customers</t>
  </si>
  <si>
    <t>Total Customer Count</t>
  </si>
  <si>
    <t>Total</t>
  </si>
  <si>
    <t>Values</t>
  </si>
  <si>
    <t>Average of Sales Completion Rate</t>
  </si>
  <si>
    <t>Average of Customer Completion Rate</t>
  </si>
  <si>
    <t>Average of Profit Completion Rate</t>
  </si>
  <si>
    <t>Pending</t>
  </si>
  <si>
    <t>Jan</t>
  </si>
  <si>
    <t>Feb</t>
  </si>
  <si>
    <t>Mar</t>
  </si>
  <si>
    <t>Apr</t>
  </si>
  <si>
    <t>May</t>
  </si>
  <si>
    <t>Jun</t>
  </si>
  <si>
    <t>Jul</t>
  </si>
  <si>
    <t>Aug</t>
  </si>
  <si>
    <t>Sep</t>
  </si>
  <si>
    <t>Oct</t>
  </si>
  <si>
    <t>Nov</t>
  </si>
  <si>
    <t>Dec</t>
  </si>
  <si>
    <t>Sales VS Target Sales</t>
  </si>
  <si>
    <t>Customer Count per Month</t>
  </si>
  <si>
    <t>Sales per Country</t>
  </si>
  <si>
    <t>Sales per Region</t>
  </si>
  <si>
    <t>Location</t>
  </si>
  <si>
    <t>Customer</t>
  </si>
  <si>
    <t>Sum of Score</t>
  </si>
  <si>
    <t>Sale vs Target</t>
  </si>
  <si>
    <t>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</si>
</sst>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0%"/>
    <numFmt numFmtId="166" formatCode="#,##0,\K"/>
    <numFmt numFmtId="167" formatCode="#,##0.0,\K"/>
  </numFmts>
  <fonts count="3" x14ac:knownFonts="1">
    <font>
      <sz val="11"/>
      <color theme="1"/>
      <name val="Aptos Narrow"/>
      <family val="2"/>
      <scheme val="minor"/>
    </font>
    <font>
      <b/>
      <sz val="11"/>
      <color theme="1"/>
      <name val="Aptos Narrow"/>
      <family val="2"/>
      <scheme val="minor"/>
    </font>
    <font>
      <b/>
      <sz val="24"/>
      <color theme="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7030A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4" fontId="0" fillId="0" borderId="0" xfId="0" applyNumberForma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2" borderId="1" xfId="0" applyFont="1" applyFill="1" applyBorder="1" applyAlignment="1">
      <alignment horizontal="center" vertical="center"/>
    </xf>
    <xf numFmtId="0" fontId="0" fillId="3" borderId="0" xfId="0" applyFill="1"/>
    <xf numFmtId="10" fontId="0" fillId="0" borderId="0" xfId="0" applyNumberFormat="1"/>
    <xf numFmtId="165" fontId="0" fillId="0" borderId="0" xfId="0" applyNumberFormat="1"/>
    <xf numFmtId="166" fontId="0" fillId="0" borderId="0" xfId="0" applyNumberFormat="1"/>
    <xf numFmtId="167" fontId="0" fillId="0" borderId="0" xfId="0" applyNumberFormat="1"/>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2" fillId="4" borderId="0" xfId="0" applyFont="1" applyFill="1" applyAlignment="1">
      <alignment horizont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17">
    <dxf>
      <numFmt numFmtId="1" formatCode="0"/>
    </dxf>
    <dxf>
      <numFmt numFmtId="167" formatCode="#,##0.0,\K"/>
    </dxf>
    <dxf>
      <numFmt numFmtId="164" formatCode="&quot;$&quot;#,##0"/>
    </dxf>
    <dxf>
      <numFmt numFmtId="14" formatCode="0.00%"/>
    </dxf>
    <dxf>
      <numFmt numFmtId="14" formatCode="0.00%"/>
    </dxf>
    <dxf>
      <numFmt numFmtId="1" formatCode="0"/>
    </dxf>
    <dxf>
      <numFmt numFmtId="1" formatCode="0"/>
    </dxf>
    <dxf>
      <numFmt numFmtId="164" formatCode="&quot;$&quot;#,##0"/>
    </dxf>
    <dxf>
      <numFmt numFmtId="167" formatCode="#,##0.0,\K"/>
    </dxf>
    <dxf>
      <numFmt numFmtId="166" formatCode="#,##0,\K"/>
    </dxf>
    <dxf>
      <numFmt numFmtId="164" formatCode="&quot;$&quot;#,##0"/>
    </dxf>
    <dxf>
      <numFmt numFmtId="1" formatCode="0"/>
    </dxf>
    <dxf>
      <numFmt numFmtId="1" formatCode="0"/>
    </dxf>
    <dxf>
      <numFmt numFmtId="1" formatCode="0"/>
    </dxf>
    <dxf>
      <numFmt numFmtId="0" formatCode="General"/>
    </dxf>
    <dxf>
      <numFmt numFmtId="168" formatCode="m/d/yyyy"/>
    </dxf>
    <dxf>
      <numFmt numFmtId="168"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 - Dashboard.xlsx]Pivot!PivotTable8</c:name>
    <c:fmtId val="10"/>
  </c:pivotSource>
  <c:chart>
    <c:title>
      <c:tx>
        <c:strRef>
          <c:f>Pivot!$I$3</c:f>
          <c:strCache>
            <c:ptCount val="1"/>
            <c:pt idx="0">
              <c:v>Sales VS Target Sales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dLbl>
          <c:idx val="0"/>
          <c:layout>
            <c:manualLayout>
              <c:x val="-2.7777777777777779E-3"/>
              <c:y val="-0.10185185185185185"/>
            </c:manualLayout>
          </c:layout>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layout>
            <c:manualLayout>
              <c:x val="-2.7777777777777779E-3"/>
              <c:y val="-0.10185185185185185"/>
            </c:manualLayout>
          </c:layout>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2.7777777777777779E-3"/>
              <c:y val="-0.10185185185185185"/>
            </c:manualLayout>
          </c:layout>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90000"/>
            </a:schemeClr>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c:f>
              <c:strCache>
                <c:ptCount val="1"/>
                <c:pt idx="0">
                  <c:v>Sum of Sales</c:v>
                </c:pt>
              </c:strCache>
            </c:strRef>
          </c:tx>
          <c:spPr>
            <a:solidFill>
              <a:srgbClr val="002060"/>
            </a:solidFill>
            <a:ln>
              <a:noFill/>
            </a:ln>
            <a:effectLst/>
          </c:spPr>
          <c:invertIfNegative val="0"/>
          <c:dPt>
            <c:idx val="1"/>
            <c:invertIfNegative val="0"/>
            <c:bubble3D val="0"/>
            <c:spPr>
              <a:solidFill>
                <a:srgbClr val="002060"/>
              </a:solidFill>
              <a:ln>
                <a:noFill/>
              </a:ln>
              <a:effectLst/>
            </c:spPr>
            <c:extLst>
              <c:ext xmlns:c16="http://schemas.microsoft.com/office/drawing/2014/chart" uri="{C3380CC4-5D6E-409C-BE32-E72D297353CC}">
                <c16:uniqueId val="{00000000-9608-4AFE-8757-E72CB02DFC7F}"/>
              </c:ext>
            </c:extLst>
          </c:dPt>
          <c:dLbls>
            <c:dLbl>
              <c:idx val="1"/>
              <c:layout>
                <c:manualLayout>
                  <c:x val="-2.7777777777777779E-3"/>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608-4AFE-8757-E72CB02DFC7F}"/>
                </c:ext>
              </c:extLst>
            </c:dLbl>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Pivot!$I$3</c:f>
              <c:numCache>
                <c:formatCode>#,##0.0,\K</c:formatCode>
                <c:ptCount val="12"/>
                <c:pt idx="0">
                  <c:v>12900</c:v>
                </c:pt>
                <c:pt idx="1">
                  <c:v>11256</c:v>
                </c:pt>
                <c:pt idx="2">
                  <c:v>11700</c:v>
                </c:pt>
                <c:pt idx="3">
                  <c:v>10400</c:v>
                </c:pt>
                <c:pt idx="4">
                  <c:v>12995</c:v>
                </c:pt>
                <c:pt idx="5">
                  <c:v>13450</c:v>
                </c:pt>
                <c:pt idx="6">
                  <c:v>11000</c:v>
                </c:pt>
                <c:pt idx="7">
                  <c:v>17050</c:v>
                </c:pt>
                <c:pt idx="8">
                  <c:v>3600</c:v>
                </c:pt>
                <c:pt idx="9">
                  <c:v>26729</c:v>
                </c:pt>
                <c:pt idx="10">
                  <c:v>22481</c:v>
                </c:pt>
                <c:pt idx="11">
                  <c:v>3800</c:v>
                </c:pt>
              </c:numCache>
            </c:numRef>
          </c:val>
          <c:extLst>
            <c:ext xmlns:c16="http://schemas.microsoft.com/office/drawing/2014/chart" uri="{C3380CC4-5D6E-409C-BE32-E72D297353CC}">
              <c16:uniqueId val="{00000001-9608-4AFE-8757-E72CB02DFC7F}"/>
            </c:ext>
          </c:extLst>
        </c:ser>
        <c:ser>
          <c:idx val="1"/>
          <c:order val="1"/>
          <c:tx>
            <c:strRef>
              <c:f>Pivot!$I$3</c:f>
              <c:strCache>
                <c:ptCount val="1"/>
                <c:pt idx="0">
                  <c:v>Sum of Target Sales</c:v>
                </c:pt>
              </c:strCache>
            </c:strRef>
          </c:tx>
          <c:spPr>
            <a:solidFill>
              <a:schemeClr val="bg2">
                <a:lumMod val="90000"/>
              </a:schemeClr>
            </a:solidFill>
            <a:ln>
              <a:noFill/>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Pivot!$I$3</c:f>
              <c:numCache>
                <c:formatCode>#,##0.0,\K</c:formatCode>
                <c:ptCount val="12"/>
                <c:pt idx="0">
                  <c:v>6000.0000000000009</c:v>
                </c:pt>
                <c:pt idx="1">
                  <c:v>24285.28571428571</c:v>
                </c:pt>
                <c:pt idx="2">
                  <c:v>9714.2857142857156</c:v>
                </c:pt>
                <c:pt idx="3">
                  <c:v>13571.428571428569</c:v>
                </c:pt>
                <c:pt idx="4">
                  <c:v>12571.285714285716</c:v>
                </c:pt>
                <c:pt idx="5">
                  <c:v>12999.999999999998</c:v>
                </c:pt>
                <c:pt idx="6">
                  <c:v>20142.85714285713</c:v>
                </c:pt>
                <c:pt idx="7">
                  <c:v>3428.5714285714316</c:v>
                </c:pt>
                <c:pt idx="8">
                  <c:v>9571.428571428567</c:v>
                </c:pt>
                <c:pt idx="9">
                  <c:v>30142.428571428576</c:v>
                </c:pt>
                <c:pt idx="10">
                  <c:v>20857.142857142862</c:v>
                </c:pt>
                <c:pt idx="11">
                  <c:v>3714.2857142857147</c:v>
                </c:pt>
              </c:numCache>
            </c:numRef>
          </c:val>
          <c:extLst>
            <c:ext xmlns:c16="http://schemas.microsoft.com/office/drawing/2014/chart" uri="{C3380CC4-5D6E-409C-BE32-E72D297353CC}">
              <c16:uniqueId val="{00000002-9608-4AFE-8757-E72CB02DFC7F}"/>
            </c:ext>
          </c:extLst>
        </c:ser>
        <c:dLbls>
          <c:showLegendKey val="0"/>
          <c:showVal val="0"/>
          <c:showCatName val="0"/>
          <c:showSerName val="0"/>
          <c:showPercent val="0"/>
          <c:showBubbleSize val="0"/>
        </c:dLbls>
        <c:gapWidth val="45"/>
        <c:overlap val="100"/>
        <c:axId val="568678063"/>
        <c:axId val="568689103"/>
      </c:barChart>
      <c:catAx>
        <c:axId val="56867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8689103"/>
        <c:crosses val="autoZero"/>
        <c:auto val="1"/>
        <c:lblAlgn val="ctr"/>
        <c:lblOffset val="100"/>
        <c:noMultiLvlLbl val="0"/>
      </c:catAx>
      <c:valAx>
        <c:axId val="568689103"/>
        <c:scaling>
          <c:orientation val="minMax"/>
        </c:scaling>
        <c:delete val="1"/>
        <c:axPos val="l"/>
        <c:numFmt formatCode="#,##0.0,\K" sourceLinked="1"/>
        <c:majorTickMark val="none"/>
        <c:minorTickMark val="none"/>
        <c:tickLblPos val="nextTo"/>
        <c:crossAx val="568678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 - Dashboard.xlsx]Pivot!PivotTable11</c:name>
    <c:fmtId val="3"/>
  </c:pivotSource>
  <c:chart>
    <c:title>
      <c:tx>
        <c:strRef>
          <c:f>Pivot!$M$3</c:f>
          <c:strCache>
            <c:ptCount val="1"/>
            <c:pt idx="0">
              <c:v>Customer Count per Month</c:v>
            </c:pt>
          </c:strCache>
        </c:strRef>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rgbClr val="0070C0"/>
            </a:solidFill>
            <a:round/>
          </a:ln>
          <a:effectLst>
            <a:outerShdw dist="25400" dir="2700000" algn="tl" rotWithShape="0">
              <a:schemeClr val="accent1"/>
            </a:outerShdw>
          </a:effectLst>
        </c:spPr>
        <c:marker>
          <c:symbol val="circle"/>
          <c:size val="14"/>
          <c:spPr>
            <a:solidFill>
              <a:schemeClr val="accent1"/>
            </a:solidFill>
            <a:ln>
              <a:solidFill>
                <a:srgbClr val="0070C0"/>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Pivot!$M$3</c:f>
              <c:strCache>
                <c:ptCount val="1"/>
                <c:pt idx="0">
                  <c:v>Total</c:v>
                </c:pt>
              </c:strCache>
            </c:strRef>
          </c:tx>
          <c:spPr>
            <a:ln w="25400" cap="rnd">
              <a:solidFill>
                <a:srgbClr val="0070C0"/>
              </a:solidFill>
              <a:round/>
            </a:ln>
            <a:effectLst>
              <a:outerShdw dist="25400" dir="2700000" algn="tl" rotWithShape="0">
                <a:schemeClr val="accent1"/>
              </a:outerShdw>
            </a:effectLst>
          </c:spPr>
          <c:marker>
            <c:symbol val="circle"/>
            <c:size val="14"/>
            <c:spPr>
              <a:solidFill>
                <a:schemeClr val="accent1"/>
              </a:solidFill>
              <a:ln>
                <a:solidFill>
                  <a:srgbClr val="0070C0"/>
                </a:solidFill>
              </a:ln>
              <a:effectLst/>
            </c:spPr>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Pivot!$M$3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Pivot!$M$3</c:f>
              <c:numCache>
                <c:formatCode>0</c:formatCode>
                <c:ptCount val="12"/>
                <c:pt idx="0">
                  <c:v>1435</c:v>
                </c:pt>
                <c:pt idx="1">
                  <c:v>185</c:v>
                </c:pt>
                <c:pt idx="2">
                  <c:v>688</c:v>
                </c:pt>
                <c:pt idx="3">
                  <c:v>810</c:v>
                </c:pt>
                <c:pt idx="4">
                  <c:v>850</c:v>
                </c:pt>
                <c:pt idx="5">
                  <c:v>991</c:v>
                </c:pt>
                <c:pt idx="6">
                  <c:v>300</c:v>
                </c:pt>
                <c:pt idx="7">
                  <c:v>646</c:v>
                </c:pt>
                <c:pt idx="8">
                  <c:v>190</c:v>
                </c:pt>
                <c:pt idx="9">
                  <c:v>1450</c:v>
                </c:pt>
                <c:pt idx="10">
                  <c:v>1497</c:v>
                </c:pt>
                <c:pt idx="11">
                  <c:v>318</c:v>
                </c:pt>
              </c:numCache>
            </c:numRef>
          </c:val>
          <c:smooth val="0"/>
          <c:extLst>
            <c:ext xmlns:c16="http://schemas.microsoft.com/office/drawing/2014/chart" uri="{C3380CC4-5D6E-409C-BE32-E72D297353CC}">
              <c16:uniqueId val="{00000000-7599-42BF-BEBE-6F4CC482465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79710351"/>
        <c:axId val="579712271"/>
      </c:lineChart>
      <c:catAx>
        <c:axId val="579710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30" baseline="0">
                <a:solidFill>
                  <a:schemeClr val="tx1"/>
                </a:solidFill>
                <a:latin typeface="+mn-lt"/>
                <a:ea typeface="+mn-ea"/>
                <a:cs typeface="+mn-cs"/>
              </a:defRPr>
            </a:pPr>
            <a:endParaRPr lang="en-US"/>
          </a:p>
        </c:txPr>
        <c:crossAx val="579712271"/>
        <c:crosses val="autoZero"/>
        <c:auto val="1"/>
        <c:lblAlgn val="ctr"/>
        <c:lblOffset val="100"/>
        <c:noMultiLvlLbl val="0"/>
      </c:catAx>
      <c:valAx>
        <c:axId val="579712271"/>
        <c:scaling>
          <c:orientation val="minMax"/>
        </c:scaling>
        <c:delete val="1"/>
        <c:axPos val="l"/>
        <c:numFmt formatCode="0" sourceLinked="1"/>
        <c:majorTickMark val="none"/>
        <c:minorTickMark val="none"/>
        <c:tickLblPos val="nextTo"/>
        <c:crossAx val="57971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 - Dashboard.xlsx]Pivot!PivotTable9</c:name>
    <c:fmtId val="2"/>
  </c:pivotSource>
  <c:chart>
    <c:title>
      <c:tx>
        <c:strRef>
          <c:f>Pivot!$P$3</c:f>
          <c:strCache>
            <c:ptCount val="1"/>
            <c:pt idx="0">
              <c:v>Sales per Country</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02828065288698E-3"/>
          <c:y val="0.16385347180439655"/>
          <c:w val="0.93888888888888888"/>
          <c:h val="0.72125801983085447"/>
        </c:manualLayout>
      </c:layout>
      <c:barChart>
        <c:barDir val="col"/>
        <c:grouping val="clustered"/>
        <c:varyColors val="0"/>
        <c:ser>
          <c:idx val="0"/>
          <c:order val="0"/>
          <c:tx>
            <c:strRef>
              <c:f>Pivot!$P$3</c:f>
              <c:strCache>
                <c:ptCount val="1"/>
                <c:pt idx="0">
                  <c:v>Total</c:v>
                </c:pt>
              </c:strCache>
            </c:strRef>
          </c:tx>
          <c:spPr>
            <a:solidFill>
              <a:srgbClr val="00206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Pivot!$P$3</c:f>
              <c:strCache>
                <c:ptCount val="5"/>
                <c:pt idx="0">
                  <c:v>Argentina</c:v>
                </c:pt>
                <c:pt idx="1">
                  <c:v>Brazil</c:v>
                </c:pt>
                <c:pt idx="2">
                  <c:v>Colombia</c:v>
                </c:pt>
                <c:pt idx="3">
                  <c:v>Ecuador</c:v>
                </c:pt>
                <c:pt idx="4">
                  <c:v>Peru</c:v>
                </c:pt>
              </c:strCache>
            </c:strRef>
          </c:cat>
          <c:val>
            <c:numRef>
              <c:f>Pivot!$P$3</c:f>
              <c:numCache>
                <c:formatCode>#,##0.0,\K</c:formatCode>
                <c:ptCount val="5"/>
                <c:pt idx="0">
                  <c:v>30381</c:v>
                </c:pt>
                <c:pt idx="1">
                  <c:v>63874</c:v>
                </c:pt>
                <c:pt idx="2">
                  <c:v>25744</c:v>
                </c:pt>
                <c:pt idx="3">
                  <c:v>23719</c:v>
                </c:pt>
                <c:pt idx="4">
                  <c:v>13643</c:v>
                </c:pt>
              </c:numCache>
            </c:numRef>
          </c:val>
          <c:extLst>
            <c:ext xmlns:c16="http://schemas.microsoft.com/office/drawing/2014/chart" uri="{C3380CC4-5D6E-409C-BE32-E72D297353CC}">
              <c16:uniqueId val="{00000000-6430-4616-ACF7-408EFDE183A3}"/>
            </c:ext>
          </c:extLst>
        </c:ser>
        <c:dLbls>
          <c:showLegendKey val="0"/>
          <c:showVal val="0"/>
          <c:showCatName val="0"/>
          <c:showSerName val="0"/>
          <c:showPercent val="0"/>
          <c:showBubbleSize val="0"/>
        </c:dLbls>
        <c:gapWidth val="150"/>
        <c:axId val="628545583"/>
        <c:axId val="628570063"/>
      </c:barChart>
      <c:catAx>
        <c:axId val="6285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8570063"/>
        <c:crosses val="autoZero"/>
        <c:auto val="1"/>
        <c:lblAlgn val="ctr"/>
        <c:lblOffset val="100"/>
        <c:noMultiLvlLbl val="0"/>
      </c:catAx>
      <c:valAx>
        <c:axId val="628570063"/>
        <c:scaling>
          <c:orientation val="minMax"/>
        </c:scaling>
        <c:delete val="1"/>
        <c:axPos val="l"/>
        <c:numFmt formatCode="#,##0.0,\K" sourceLinked="1"/>
        <c:majorTickMark val="none"/>
        <c:minorTickMark val="none"/>
        <c:tickLblPos val="nextTo"/>
        <c:crossAx val="628545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 - Dashboard.xlsx]Pivot!PivotTable12</c:name>
    <c:fmtId val="3"/>
  </c:pivotSource>
  <c:chart>
    <c:title>
      <c:tx>
        <c:strRef>
          <c:f>Pivot!$S$3</c:f>
          <c:strCache>
            <c:ptCount val="1"/>
            <c:pt idx="0">
              <c:v>Sales per Region</c:v>
            </c:pt>
          </c:strCache>
        </c:strRef>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w="19050">
            <a:solidFill>
              <a:schemeClr val="lt1"/>
            </a:solidFill>
          </a:ln>
          <a:effectLst/>
        </c:spPr>
      </c:pivotFmt>
      <c:pivotFmt>
        <c:idx val="8"/>
        <c:spPr>
          <a:solidFill>
            <a:schemeClr val="tx2">
              <a:lumMod val="25000"/>
              <a:lumOff val="75000"/>
            </a:schemeClr>
          </a:solidFill>
          <a:ln w="19050">
            <a:solidFill>
              <a:schemeClr val="lt1"/>
            </a:solidFill>
          </a:ln>
          <a:effectLst/>
        </c:spPr>
      </c:pivotFmt>
      <c:pivotFmt>
        <c:idx val="9"/>
        <c:spPr>
          <a:solidFill>
            <a:schemeClr val="tx2">
              <a:lumMod val="75000"/>
              <a:lumOff val="25000"/>
            </a:schemeClr>
          </a:solidFill>
          <a:ln w="19050">
            <a:solidFill>
              <a:schemeClr val="lt1"/>
            </a:solidFill>
          </a:ln>
          <a:effectLst/>
        </c:spPr>
      </c:pivotFmt>
      <c:pivotFmt>
        <c:idx val="10"/>
        <c:spPr>
          <a:solidFill>
            <a:schemeClr val="tx2">
              <a:lumMod val="50000"/>
              <a:lumOff val="50000"/>
            </a:schemeClr>
          </a:solidFill>
          <a:ln w="19050">
            <a:solidFill>
              <a:schemeClr val="lt1"/>
            </a:solidFill>
          </a:ln>
          <a:effectLst/>
        </c:spPr>
      </c:pivotFmt>
    </c:pivotFmts>
    <c:plotArea>
      <c:layout/>
      <c:pieChart>
        <c:varyColors val="1"/>
        <c:ser>
          <c:idx val="0"/>
          <c:order val="0"/>
          <c:tx>
            <c:strRef>
              <c:f>Pivot!$S$3</c:f>
              <c:strCache>
                <c:ptCount val="1"/>
                <c:pt idx="0">
                  <c:v>Total</c:v>
                </c:pt>
              </c:strCache>
            </c:strRef>
          </c:tx>
          <c:spPr>
            <a:solidFill>
              <a:srgbClr val="002060"/>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F55C-4D7B-B80C-F5C3279C0C3E}"/>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F55C-4D7B-B80C-F5C3279C0C3E}"/>
              </c:ext>
            </c:extLst>
          </c:dPt>
          <c:dPt>
            <c:idx val="2"/>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5-F55C-4D7B-B80C-F5C3279C0C3E}"/>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F55C-4D7B-B80C-F5C3279C0C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Pivot!$S$3</c:f>
              <c:strCache>
                <c:ptCount val="4"/>
                <c:pt idx="0">
                  <c:v>East</c:v>
                </c:pt>
                <c:pt idx="1">
                  <c:v>North</c:v>
                </c:pt>
                <c:pt idx="2">
                  <c:v>South</c:v>
                </c:pt>
                <c:pt idx="3">
                  <c:v>West</c:v>
                </c:pt>
              </c:strCache>
            </c:strRef>
          </c:cat>
          <c:val>
            <c:numRef>
              <c:f>Pivot!$S$3</c:f>
              <c:numCache>
                <c:formatCode>#,##0,\K</c:formatCode>
                <c:ptCount val="4"/>
                <c:pt idx="0">
                  <c:v>50045</c:v>
                </c:pt>
                <c:pt idx="1">
                  <c:v>22921</c:v>
                </c:pt>
                <c:pt idx="2">
                  <c:v>46112</c:v>
                </c:pt>
                <c:pt idx="3">
                  <c:v>38283</c:v>
                </c:pt>
              </c:numCache>
            </c:numRef>
          </c:val>
          <c:extLst>
            <c:ext xmlns:c16="http://schemas.microsoft.com/office/drawing/2014/chart" uri="{C3380CC4-5D6E-409C-BE32-E72D297353CC}">
              <c16:uniqueId val="{00000008-F55C-4D7B-B80C-F5C3279C0C3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584579705314613"/>
          <c:y val="1.2112749670475983E-2"/>
          <c:w val="0.51892513435820531"/>
          <c:h val="0.89098525296571629"/>
        </c:manualLayout>
      </c:layout>
      <c:doughnut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8469-41E2-B6AB-50636A81A8E6}"/>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8469-41E2-B6AB-50636A81A8E6}"/>
              </c:ext>
            </c:extLst>
          </c:dPt>
          <c:cat>
            <c:strRef>
              <c:f>Pivot!$E$9:$E$10</c:f>
              <c:strCache>
                <c:ptCount val="2"/>
                <c:pt idx="0">
                  <c:v>Complete</c:v>
                </c:pt>
                <c:pt idx="1">
                  <c:v>Pending</c:v>
                </c:pt>
              </c:strCache>
            </c:strRef>
          </c:cat>
          <c:val>
            <c:numRef>
              <c:f>Pivot!$F$9:$F$10</c:f>
              <c:numCache>
                <c:formatCode>0.0%</c:formatCode>
                <c:ptCount val="2"/>
                <c:pt idx="0">
                  <c:v>0.94228707956334989</c:v>
                </c:pt>
                <c:pt idx="1">
                  <c:v>5.7712920436650106E-2</c:v>
                </c:pt>
              </c:numCache>
            </c:numRef>
          </c:val>
          <c:extLst>
            <c:ext xmlns:c16="http://schemas.microsoft.com/office/drawing/2014/chart" uri="{C3380CC4-5D6E-409C-BE32-E72D297353CC}">
              <c16:uniqueId val="{00000004-8469-41E2-B6AB-50636A81A8E6}"/>
            </c:ext>
          </c:extLst>
        </c:ser>
        <c:dLbls>
          <c:showLegendKey val="0"/>
          <c:showVal val="0"/>
          <c:showCatName val="0"/>
          <c:showSerName val="0"/>
          <c:showPercent val="0"/>
          <c:showBubbleSize val="0"/>
          <c:showLeaderLines val="1"/>
        </c:dLbls>
        <c:firstSliceAng val="240"/>
        <c:holeSize val="3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Customer Satisfaction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Customer Satisfaction</a:t>
          </a:r>
        </a:p>
      </cx:txPr>
    </cx:title>
    <cx:plotArea>
      <cx:plotAreaRegion>
        <cx:series layoutId="funnel" uniqueId="{15E9AE19-9D86-4A96-9BDE-C858E1D152D4}">
          <cx:spPr>
            <a:solidFill>
              <a:srgbClr val="0070C0"/>
            </a:solidFill>
          </cx:spPr>
          <cx:data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microsoft.com/office/2014/relationships/chartEx" Target="../charts/chartEx1.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4.xml"/><Relationship Id="rId15" Type="http://schemas.openxmlformats.org/officeDocument/2006/relationships/image" Target="../media/image9.png"/><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sv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257175</xdr:colOff>
      <xdr:row>39</xdr:row>
      <xdr:rowOff>9525</xdr:rowOff>
    </xdr:to>
    <xdr:sp macro="" textlink="">
      <xdr:nvSpPr>
        <xdr:cNvPr id="2" name="Rectangle 1">
          <a:extLst>
            <a:ext uri="{FF2B5EF4-FFF2-40B4-BE49-F238E27FC236}">
              <a16:creationId xmlns:a16="http://schemas.microsoft.com/office/drawing/2014/main" id="{C2267CFD-2BC6-37BD-9D3F-6F1315C8C944}"/>
            </a:ext>
          </a:extLst>
        </xdr:cNvPr>
        <xdr:cNvSpPr/>
      </xdr:nvSpPr>
      <xdr:spPr>
        <a:xfrm>
          <a:off x="0" y="0"/>
          <a:ext cx="13058775" cy="7248525"/>
        </a:xfrm>
        <a:prstGeom prst="rect">
          <a:avLst/>
        </a:prstGeom>
        <a:solidFill>
          <a:schemeClr val="bg1">
            <a:lumMod val="95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0</xdr:row>
      <xdr:rowOff>57150</xdr:rowOff>
    </xdr:from>
    <xdr:to>
      <xdr:col>2</xdr:col>
      <xdr:colOff>323850</xdr:colOff>
      <xdr:row>38</xdr:row>
      <xdr:rowOff>104775</xdr:rowOff>
    </xdr:to>
    <xdr:sp macro="" textlink="">
      <xdr:nvSpPr>
        <xdr:cNvPr id="3" name="Rectangle: Rounded Corners 2">
          <a:extLst>
            <a:ext uri="{FF2B5EF4-FFF2-40B4-BE49-F238E27FC236}">
              <a16:creationId xmlns:a16="http://schemas.microsoft.com/office/drawing/2014/main" id="{EDBBC10B-4786-F6B3-5A9F-76486E7C5A71}"/>
            </a:ext>
          </a:extLst>
        </xdr:cNvPr>
        <xdr:cNvSpPr/>
      </xdr:nvSpPr>
      <xdr:spPr>
        <a:xfrm>
          <a:off x="57150" y="57150"/>
          <a:ext cx="1485900" cy="70961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476254</xdr:colOff>
      <xdr:row>0</xdr:row>
      <xdr:rowOff>95249</xdr:rowOff>
    </xdr:from>
    <xdr:to>
      <xdr:col>21</xdr:col>
      <xdr:colOff>200025</xdr:colOff>
      <xdr:row>4</xdr:row>
      <xdr:rowOff>123825</xdr:rowOff>
    </xdr:to>
    <xdr:sp macro="" textlink="">
      <xdr:nvSpPr>
        <xdr:cNvPr id="4" name="Rectangle: Rounded Corners 3">
          <a:extLst>
            <a:ext uri="{FF2B5EF4-FFF2-40B4-BE49-F238E27FC236}">
              <a16:creationId xmlns:a16="http://schemas.microsoft.com/office/drawing/2014/main" id="{3232CE4F-39BD-E9E6-2BE8-7AC422E74BB5}"/>
            </a:ext>
          </a:extLst>
        </xdr:cNvPr>
        <xdr:cNvSpPr/>
      </xdr:nvSpPr>
      <xdr:spPr>
        <a:xfrm rot="16200000">
          <a:off x="6953252" y="-5162549"/>
          <a:ext cx="790576" cy="113061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528643</xdr:colOff>
      <xdr:row>0</xdr:row>
      <xdr:rowOff>0</xdr:rowOff>
    </xdr:from>
    <xdr:to>
      <xdr:col>32</xdr:col>
      <xdr:colOff>14293</xdr:colOff>
      <xdr:row>0</xdr:row>
      <xdr:rowOff>0</xdr:rowOff>
    </xdr:to>
    <xdr:sp macro="" textlink="">
      <xdr:nvSpPr>
        <xdr:cNvPr id="5" name="Rectangle: Rounded Corners 4">
          <a:extLst>
            <a:ext uri="{FF2B5EF4-FFF2-40B4-BE49-F238E27FC236}">
              <a16:creationId xmlns:a16="http://schemas.microsoft.com/office/drawing/2014/main" id="{58611870-41EC-695C-E621-5D3F238C8ADB}"/>
            </a:ext>
          </a:extLst>
        </xdr:cNvPr>
        <xdr:cNvSpPr/>
      </xdr:nvSpPr>
      <xdr:spPr>
        <a:xfrm rot="16200000">
          <a:off x="13987468" y="-5534025"/>
          <a:ext cx="0" cy="11068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485780</xdr:colOff>
      <xdr:row>5</xdr:row>
      <xdr:rowOff>19048</xdr:rowOff>
    </xdr:from>
    <xdr:to>
      <xdr:col>5</xdr:col>
      <xdr:colOff>476254</xdr:colOff>
      <xdr:row>10</xdr:row>
      <xdr:rowOff>0</xdr:rowOff>
    </xdr:to>
    <xdr:sp macro="" textlink="">
      <xdr:nvSpPr>
        <xdr:cNvPr id="6" name="Rectangle: Rounded Corners 5">
          <a:extLst>
            <a:ext uri="{FF2B5EF4-FFF2-40B4-BE49-F238E27FC236}">
              <a16:creationId xmlns:a16="http://schemas.microsoft.com/office/drawing/2014/main" id="{F6D33AD2-A2D4-C1F2-AB04-3979D8C8A961}"/>
            </a:ext>
          </a:extLst>
        </xdr:cNvPr>
        <xdr:cNvSpPr/>
      </xdr:nvSpPr>
      <xdr:spPr>
        <a:xfrm rot="16200000">
          <a:off x="2119316" y="366712"/>
          <a:ext cx="990602" cy="18192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523881</xdr:colOff>
      <xdr:row>10</xdr:row>
      <xdr:rowOff>114293</xdr:rowOff>
    </xdr:from>
    <xdr:to>
      <xdr:col>10</xdr:col>
      <xdr:colOff>476250</xdr:colOff>
      <xdr:row>26</xdr:row>
      <xdr:rowOff>57148</xdr:rowOff>
    </xdr:to>
    <xdr:sp macro="" textlink="">
      <xdr:nvSpPr>
        <xdr:cNvPr id="7" name="Rectangle: Rounded Corners 6">
          <a:extLst>
            <a:ext uri="{FF2B5EF4-FFF2-40B4-BE49-F238E27FC236}">
              <a16:creationId xmlns:a16="http://schemas.microsoft.com/office/drawing/2014/main" id="{A22C7511-3BF0-47A1-AC76-0DD301049CAF}"/>
            </a:ext>
          </a:extLst>
        </xdr:cNvPr>
        <xdr:cNvSpPr/>
      </xdr:nvSpPr>
      <xdr:spPr>
        <a:xfrm rot="16200000">
          <a:off x="2662238" y="1290636"/>
          <a:ext cx="2990855" cy="48291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10</xdr:row>
      <xdr:rowOff>161925</xdr:rowOff>
    </xdr:from>
    <xdr:to>
      <xdr:col>10</xdr:col>
      <xdr:colOff>447675</xdr:colOff>
      <xdr:row>26</xdr:row>
      <xdr:rowOff>57150</xdr:rowOff>
    </xdr:to>
    <xdr:graphicFrame macro="">
      <xdr:nvGraphicFramePr>
        <xdr:cNvPr id="9" name="Chart 8">
          <a:extLst>
            <a:ext uri="{FF2B5EF4-FFF2-40B4-BE49-F238E27FC236}">
              <a16:creationId xmlns:a16="http://schemas.microsoft.com/office/drawing/2014/main" id="{97C63728-5F7A-4C2A-9FD5-633BFC376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514358</xdr:colOff>
      <xdr:row>27</xdr:row>
      <xdr:rowOff>76191</xdr:rowOff>
    </xdr:from>
    <xdr:to>
      <xdr:col>13</xdr:col>
      <xdr:colOff>85727</xdr:colOff>
      <xdr:row>38</xdr:row>
      <xdr:rowOff>95249</xdr:rowOff>
    </xdr:to>
    <xdr:sp macro="" textlink="">
      <xdr:nvSpPr>
        <xdr:cNvPr id="12" name="Rectangle: Rounded Corners 11">
          <a:extLst>
            <a:ext uri="{FF2B5EF4-FFF2-40B4-BE49-F238E27FC236}">
              <a16:creationId xmlns:a16="http://schemas.microsoft.com/office/drawing/2014/main" id="{8FC40157-E1D6-33C7-BF52-103933550635}"/>
            </a:ext>
          </a:extLst>
        </xdr:cNvPr>
        <xdr:cNvSpPr/>
      </xdr:nvSpPr>
      <xdr:spPr>
        <a:xfrm rot="16200000">
          <a:off x="3814764" y="3138485"/>
          <a:ext cx="2114558" cy="62769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xdr:colOff>
      <xdr:row>28</xdr:row>
      <xdr:rowOff>0</xdr:rowOff>
    </xdr:from>
    <xdr:to>
      <xdr:col>12</xdr:col>
      <xdr:colOff>528638</xdr:colOff>
      <xdr:row>38</xdr:row>
      <xdr:rowOff>19050</xdr:rowOff>
    </xdr:to>
    <xdr:graphicFrame macro="">
      <xdr:nvGraphicFramePr>
        <xdr:cNvPr id="10" name="Chart 9">
          <a:extLst>
            <a:ext uri="{FF2B5EF4-FFF2-40B4-BE49-F238E27FC236}">
              <a16:creationId xmlns:a16="http://schemas.microsoft.com/office/drawing/2014/main" id="{0887EB5F-5153-4B6A-B206-7CCB0BA20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152407</xdr:colOff>
      <xdr:row>27</xdr:row>
      <xdr:rowOff>28574</xdr:rowOff>
    </xdr:from>
    <xdr:to>
      <xdr:col>21</xdr:col>
      <xdr:colOff>142876</xdr:colOff>
      <xdr:row>38</xdr:row>
      <xdr:rowOff>95247</xdr:rowOff>
    </xdr:to>
    <xdr:sp macro="" textlink="">
      <xdr:nvSpPr>
        <xdr:cNvPr id="14" name="Rectangle: Rounded Corners 13">
          <a:extLst>
            <a:ext uri="{FF2B5EF4-FFF2-40B4-BE49-F238E27FC236}">
              <a16:creationId xmlns:a16="http://schemas.microsoft.com/office/drawing/2014/main" id="{4B1ECEE7-47FB-4A27-D5D2-A05937484EB5}"/>
            </a:ext>
          </a:extLst>
        </xdr:cNvPr>
        <xdr:cNvSpPr/>
      </xdr:nvSpPr>
      <xdr:spPr>
        <a:xfrm rot="16200000">
          <a:off x="9429755" y="4010026"/>
          <a:ext cx="2162173" cy="48672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304800</xdr:colOff>
      <xdr:row>27</xdr:row>
      <xdr:rowOff>114300</xdr:rowOff>
    </xdr:from>
    <xdr:to>
      <xdr:col>21</xdr:col>
      <xdr:colOff>0</xdr:colOff>
      <xdr:row>37</xdr:row>
      <xdr:rowOff>142874</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40E31EB5-697D-43CA-864B-C4EF34CB8B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229600" y="5257800"/>
              <a:ext cx="4572000" cy="19335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600082</xdr:colOff>
      <xdr:row>10</xdr:row>
      <xdr:rowOff>104767</xdr:rowOff>
    </xdr:from>
    <xdr:to>
      <xdr:col>16</xdr:col>
      <xdr:colOff>95254</xdr:colOff>
      <xdr:row>26</xdr:row>
      <xdr:rowOff>47622</xdr:rowOff>
    </xdr:to>
    <xdr:sp macro="" textlink="">
      <xdr:nvSpPr>
        <xdr:cNvPr id="15" name="Rectangle: Rounded Corners 14">
          <a:extLst>
            <a:ext uri="{FF2B5EF4-FFF2-40B4-BE49-F238E27FC236}">
              <a16:creationId xmlns:a16="http://schemas.microsoft.com/office/drawing/2014/main" id="{B2C7EDE8-FC54-B5CA-D87B-27D5D5D43522}"/>
            </a:ext>
          </a:extLst>
        </xdr:cNvPr>
        <xdr:cNvSpPr/>
      </xdr:nvSpPr>
      <xdr:spPr>
        <a:xfrm rot="16200000">
          <a:off x="6777040" y="1928809"/>
          <a:ext cx="2990855" cy="31527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47626</xdr:colOff>
      <xdr:row>10</xdr:row>
      <xdr:rowOff>114299</xdr:rowOff>
    </xdr:from>
    <xdr:to>
      <xdr:col>16</xdr:col>
      <xdr:colOff>190500</xdr:colOff>
      <xdr:row>25</xdr:row>
      <xdr:rowOff>123824</xdr:rowOff>
    </xdr:to>
    <xdr:graphicFrame macro="">
      <xdr:nvGraphicFramePr>
        <xdr:cNvPr id="16" name="Chart 15">
          <a:extLst>
            <a:ext uri="{FF2B5EF4-FFF2-40B4-BE49-F238E27FC236}">
              <a16:creationId xmlns:a16="http://schemas.microsoft.com/office/drawing/2014/main" id="{FF83811D-BE6F-4FA9-AC77-467D6E293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180983</xdr:colOff>
      <xdr:row>10</xdr:row>
      <xdr:rowOff>85718</xdr:rowOff>
    </xdr:from>
    <xdr:to>
      <xdr:col>21</xdr:col>
      <xdr:colOff>200028</xdr:colOff>
      <xdr:row>26</xdr:row>
      <xdr:rowOff>28573</xdr:rowOff>
    </xdr:to>
    <xdr:sp macro="" textlink="">
      <xdr:nvSpPr>
        <xdr:cNvPr id="17" name="Rectangle: Rounded Corners 16">
          <a:extLst>
            <a:ext uri="{FF2B5EF4-FFF2-40B4-BE49-F238E27FC236}">
              <a16:creationId xmlns:a16="http://schemas.microsoft.com/office/drawing/2014/main" id="{06E0B442-7424-A6CF-8441-955B2AE7A4F9}"/>
            </a:ext>
          </a:extLst>
        </xdr:cNvPr>
        <xdr:cNvSpPr/>
      </xdr:nvSpPr>
      <xdr:spPr>
        <a:xfrm rot="16200000">
          <a:off x="9972678" y="2143123"/>
          <a:ext cx="2990855" cy="306704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504827</xdr:colOff>
      <xdr:row>10</xdr:row>
      <xdr:rowOff>95248</xdr:rowOff>
    </xdr:from>
    <xdr:to>
      <xdr:col>22</xdr:col>
      <xdr:colOff>409574</xdr:colOff>
      <xdr:row>26</xdr:row>
      <xdr:rowOff>9525</xdr:rowOff>
    </xdr:to>
    <xdr:graphicFrame macro="">
      <xdr:nvGraphicFramePr>
        <xdr:cNvPr id="18" name="Chart 17">
          <a:extLst>
            <a:ext uri="{FF2B5EF4-FFF2-40B4-BE49-F238E27FC236}">
              <a16:creationId xmlns:a16="http://schemas.microsoft.com/office/drawing/2014/main" id="{667A4FFE-475A-4E2E-8E2F-716CB577D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495300</xdr:colOff>
      <xdr:row>5</xdr:row>
      <xdr:rowOff>19050</xdr:rowOff>
    </xdr:from>
    <xdr:to>
      <xdr:col>5</xdr:col>
      <xdr:colOff>428625</xdr:colOff>
      <xdr:row>7</xdr:row>
      <xdr:rowOff>47625</xdr:rowOff>
    </xdr:to>
    <xdr:sp macro="" textlink="">
      <xdr:nvSpPr>
        <xdr:cNvPr id="22" name="TextBox 21">
          <a:extLst>
            <a:ext uri="{FF2B5EF4-FFF2-40B4-BE49-F238E27FC236}">
              <a16:creationId xmlns:a16="http://schemas.microsoft.com/office/drawing/2014/main" id="{501360A6-2512-FB1E-748F-5B910DB681DE}"/>
            </a:ext>
          </a:extLst>
        </xdr:cNvPr>
        <xdr:cNvSpPr txBox="1"/>
      </xdr:nvSpPr>
      <xdr:spPr>
        <a:xfrm>
          <a:off x="1714500" y="781050"/>
          <a:ext cx="17621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rPr>
            <a:t>Total Customer</a:t>
          </a:r>
        </a:p>
      </xdr:txBody>
    </xdr:sp>
    <xdr:clientData/>
  </xdr:twoCellAnchor>
  <xdr:twoCellAnchor editAs="oneCell">
    <xdr:from>
      <xdr:col>2</xdr:col>
      <xdr:colOff>561975</xdr:colOff>
      <xdr:row>6</xdr:row>
      <xdr:rowOff>142875</xdr:rowOff>
    </xdr:from>
    <xdr:to>
      <xdr:col>4</xdr:col>
      <xdr:colOff>9525</xdr:colOff>
      <xdr:row>10</xdr:row>
      <xdr:rowOff>47625</xdr:rowOff>
    </xdr:to>
    <xdr:pic>
      <xdr:nvPicPr>
        <xdr:cNvPr id="27" name="Graphic 26" descr="User with solid fill">
          <a:extLst>
            <a:ext uri="{FF2B5EF4-FFF2-40B4-BE49-F238E27FC236}">
              <a16:creationId xmlns:a16="http://schemas.microsoft.com/office/drawing/2014/main" id="{D355BCBD-15A2-4C0B-B1C1-66179033E06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781175" y="1095375"/>
          <a:ext cx="666750" cy="666750"/>
        </a:xfrm>
        <a:prstGeom prst="rect">
          <a:avLst/>
        </a:prstGeom>
      </xdr:spPr>
    </xdr:pic>
    <xdr:clientData/>
  </xdr:twoCellAnchor>
  <xdr:twoCellAnchor>
    <xdr:from>
      <xdr:col>3</xdr:col>
      <xdr:colOff>180975</xdr:colOff>
      <xdr:row>7</xdr:row>
      <xdr:rowOff>85725</xdr:rowOff>
    </xdr:from>
    <xdr:to>
      <xdr:col>6</xdr:col>
      <xdr:colOff>114300</xdr:colOff>
      <xdr:row>9</xdr:row>
      <xdr:rowOff>114300</xdr:rowOff>
    </xdr:to>
    <xdr:sp macro="" textlink="Pivot!G6">
      <xdr:nvSpPr>
        <xdr:cNvPr id="28" name="TextBox 27">
          <a:extLst>
            <a:ext uri="{FF2B5EF4-FFF2-40B4-BE49-F238E27FC236}">
              <a16:creationId xmlns:a16="http://schemas.microsoft.com/office/drawing/2014/main" id="{29CC2A49-A703-F2A1-3915-65CB9AF026EA}"/>
            </a:ext>
          </a:extLst>
        </xdr:cNvPr>
        <xdr:cNvSpPr txBox="1"/>
      </xdr:nvSpPr>
      <xdr:spPr>
        <a:xfrm>
          <a:off x="2009775" y="1228725"/>
          <a:ext cx="17621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57096D-71A5-4185-A8D7-334600758AD2}" type="TxLink">
            <a:rPr lang="en-US" sz="3200" b="1" i="0" u="none" strike="noStrike">
              <a:solidFill>
                <a:schemeClr val="tx1"/>
              </a:solidFill>
              <a:latin typeface="Aptos Narrow"/>
            </a:rPr>
            <a:pPr algn="ctr"/>
            <a:t>9360</a:t>
          </a:fld>
          <a:endParaRPr lang="en-US" sz="4800" b="1">
            <a:solidFill>
              <a:schemeClr val="tx1"/>
            </a:solidFill>
          </a:endParaRPr>
        </a:p>
      </xdr:txBody>
    </xdr:sp>
    <xdr:clientData/>
  </xdr:twoCellAnchor>
  <xdr:twoCellAnchor>
    <xdr:from>
      <xdr:col>6</xdr:col>
      <xdr:colOff>57155</xdr:colOff>
      <xdr:row>5</xdr:row>
      <xdr:rowOff>9523</xdr:rowOff>
    </xdr:from>
    <xdr:to>
      <xdr:col>9</xdr:col>
      <xdr:colOff>47629</xdr:colOff>
      <xdr:row>10</xdr:row>
      <xdr:rowOff>0</xdr:rowOff>
    </xdr:to>
    <xdr:sp macro="" textlink="">
      <xdr:nvSpPr>
        <xdr:cNvPr id="30" name="Rectangle: Rounded Corners 29">
          <a:extLst>
            <a:ext uri="{FF2B5EF4-FFF2-40B4-BE49-F238E27FC236}">
              <a16:creationId xmlns:a16="http://schemas.microsoft.com/office/drawing/2014/main" id="{D35DC11F-6B92-103B-35FF-B680BBA16919}"/>
            </a:ext>
          </a:extLst>
        </xdr:cNvPr>
        <xdr:cNvSpPr/>
      </xdr:nvSpPr>
      <xdr:spPr>
        <a:xfrm rot="16200000">
          <a:off x="4124328" y="361950"/>
          <a:ext cx="1000127" cy="18192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76200</xdr:colOff>
      <xdr:row>4</xdr:row>
      <xdr:rowOff>171450</xdr:rowOff>
    </xdr:from>
    <xdr:to>
      <xdr:col>9</xdr:col>
      <xdr:colOff>38100</xdr:colOff>
      <xdr:row>7</xdr:row>
      <xdr:rowOff>9525</xdr:rowOff>
    </xdr:to>
    <xdr:sp macro="" textlink="">
      <xdr:nvSpPr>
        <xdr:cNvPr id="29" name="TextBox 28">
          <a:extLst>
            <a:ext uri="{FF2B5EF4-FFF2-40B4-BE49-F238E27FC236}">
              <a16:creationId xmlns:a16="http://schemas.microsoft.com/office/drawing/2014/main" id="{F9D60076-3ED8-99AB-7D6F-CD44ABD646E4}"/>
            </a:ext>
          </a:extLst>
        </xdr:cNvPr>
        <xdr:cNvSpPr txBox="1"/>
      </xdr:nvSpPr>
      <xdr:spPr>
        <a:xfrm>
          <a:off x="3733800" y="742950"/>
          <a:ext cx="17907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rPr>
            <a:t>Total Sales</a:t>
          </a:r>
        </a:p>
      </xdr:txBody>
    </xdr:sp>
    <xdr:clientData/>
  </xdr:twoCellAnchor>
  <xdr:twoCellAnchor>
    <xdr:from>
      <xdr:col>16</xdr:col>
      <xdr:colOff>190506</xdr:colOff>
      <xdr:row>5</xdr:row>
      <xdr:rowOff>142872</xdr:rowOff>
    </xdr:from>
    <xdr:to>
      <xdr:col>19</xdr:col>
      <xdr:colOff>180980</xdr:colOff>
      <xdr:row>10</xdr:row>
      <xdr:rowOff>0</xdr:rowOff>
    </xdr:to>
    <xdr:sp macro="" textlink="">
      <xdr:nvSpPr>
        <xdr:cNvPr id="31" name="Rectangle: Rounded Corners 30">
          <a:extLst>
            <a:ext uri="{FF2B5EF4-FFF2-40B4-BE49-F238E27FC236}">
              <a16:creationId xmlns:a16="http://schemas.microsoft.com/office/drawing/2014/main" id="{011D821E-1524-18B3-2C14-7E79D8FE38D0}"/>
            </a:ext>
          </a:extLst>
        </xdr:cNvPr>
        <xdr:cNvSpPr/>
      </xdr:nvSpPr>
      <xdr:spPr>
        <a:xfrm rot="16200000">
          <a:off x="10306054" y="542924"/>
          <a:ext cx="1095377" cy="1819274"/>
        </a:xfrm>
        <a:prstGeom prst="roundRect">
          <a:avLst/>
        </a:prstGeom>
        <a:noFill/>
        <a:ln w="6546" cap="flat">
          <a:noFill/>
          <a:prstDash val="solid"/>
          <a:miter/>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200031</xdr:colOff>
      <xdr:row>5</xdr:row>
      <xdr:rowOff>9522</xdr:rowOff>
    </xdr:from>
    <xdr:to>
      <xdr:col>12</xdr:col>
      <xdr:colOff>590551</xdr:colOff>
      <xdr:row>10</xdr:row>
      <xdr:rowOff>0</xdr:rowOff>
    </xdr:to>
    <xdr:sp macro="" textlink="">
      <xdr:nvSpPr>
        <xdr:cNvPr id="32" name="Rectangle: Rounded Corners 31">
          <a:extLst>
            <a:ext uri="{FF2B5EF4-FFF2-40B4-BE49-F238E27FC236}">
              <a16:creationId xmlns:a16="http://schemas.microsoft.com/office/drawing/2014/main" id="{E0ABFD81-3EDD-6781-5342-27C6A9B5306F}"/>
            </a:ext>
          </a:extLst>
        </xdr:cNvPr>
        <xdr:cNvSpPr/>
      </xdr:nvSpPr>
      <xdr:spPr>
        <a:xfrm rot="16200000">
          <a:off x="6276977" y="180976"/>
          <a:ext cx="1038227" cy="22193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295275</xdr:colOff>
      <xdr:row>6</xdr:row>
      <xdr:rowOff>171450</xdr:rowOff>
    </xdr:from>
    <xdr:to>
      <xdr:col>9</xdr:col>
      <xdr:colOff>228600</xdr:colOff>
      <xdr:row>9</xdr:row>
      <xdr:rowOff>190499</xdr:rowOff>
    </xdr:to>
    <xdr:sp macro="" textlink="Pivot!A6">
      <xdr:nvSpPr>
        <xdr:cNvPr id="33" name="TextBox 32">
          <a:extLst>
            <a:ext uri="{FF2B5EF4-FFF2-40B4-BE49-F238E27FC236}">
              <a16:creationId xmlns:a16="http://schemas.microsoft.com/office/drawing/2014/main" id="{456C1754-BE6B-1D9F-8C81-24AF5281F6C7}"/>
            </a:ext>
          </a:extLst>
        </xdr:cNvPr>
        <xdr:cNvSpPr txBox="1"/>
      </xdr:nvSpPr>
      <xdr:spPr>
        <a:xfrm>
          <a:off x="3952875" y="1123950"/>
          <a:ext cx="1762125" cy="59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8A82ED-2689-4FDA-A063-B96C6E92BD6D}" type="TxLink">
            <a:rPr lang="en-US" sz="2400" b="1" i="0" u="none" strike="noStrike">
              <a:solidFill>
                <a:schemeClr val="tx1"/>
              </a:solidFill>
              <a:latin typeface="Aptos Narrow"/>
              <a:ea typeface="+mn-ea"/>
              <a:cs typeface="+mn-cs"/>
            </a:rPr>
            <a:pPr marL="0" indent="0" algn="ctr"/>
            <a:t>$1,57,361</a:t>
          </a:fld>
          <a:endParaRPr lang="en-US" sz="2400" b="1" i="0" u="none" strike="noStrike">
            <a:solidFill>
              <a:schemeClr val="tx1"/>
            </a:solidFill>
            <a:latin typeface="Aptos Narrow"/>
            <a:ea typeface="+mn-ea"/>
            <a:cs typeface="+mn-cs"/>
          </a:endParaRPr>
        </a:p>
      </xdr:txBody>
    </xdr:sp>
    <xdr:clientData/>
  </xdr:twoCellAnchor>
  <xdr:twoCellAnchor editAs="oneCell">
    <xdr:from>
      <xdr:col>6</xdr:col>
      <xdr:colOff>1</xdr:colOff>
      <xdr:row>6</xdr:row>
      <xdr:rowOff>66675</xdr:rowOff>
    </xdr:from>
    <xdr:to>
      <xdr:col>7</xdr:col>
      <xdr:colOff>57151</xdr:colOff>
      <xdr:row>9</xdr:row>
      <xdr:rowOff>161925</xdr:rowOff>
    </xdr:to>
    <xdr:pic>
      <xdr:nvPicPr>
        <xdr:cNvPr id="42" name="Graphic 41" descr="Dollar with solid fill">
          <a:extLst>
            <a:ext uri="{FF2B5EF4-FFF2-40B4-BE49-F238E27FC236}">
              <a16:creationId xmlns:a16="http://schemas.microsoft.com/office/drawing/2014/main" id="{20EF1FAD-AC11-474C-B8D4-A8D96D4A9FA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57601" y="1019175"/>
          <a:ext cx="666750" cy="666750"/>
        </a:xfrm>
        <a:prstGeom prst="rect">
          <a:avLst/>
        </a:prstGeom>
      </xdr:spPr>
    </xdr:pic>
    <xdr:clientData/>
  </xdr:twoCellAnchor>
  <xdr:twoCellAnchor>
    <xdr:from>
      <xdr:col>9</xdr:col>
      <xdr:colOff>200025</xdr:colOff>
      <xdr:row>4</xdr:row>
      <xdr:rowOff>171450</xdr:rowOff>
    </xdr:from>
    <xdr:to>
      <xdr:col>13</xdr:col>
      <xdr:colOff>28575</xdr:colOff>
      <xdr:row>7</xdr:row>
      <xdr:rowOff>9525</xdr:rowOff>
    </xdr:to>
    <xdr:sp macro="" textlink="">
      <xdr:nvSpPr>
        <xdr:cNvPr id="44" name="TextBox 43">
          <a:extLst>
            <a:ext uri="{FF2B5EF4-FFF2-40B4-BE49-F238E27FC236}">
              <a16:creationId xmlns:a16="http://schemas.microsoft.com/office/drawing/2014/main" id="{C510F5A4-7EF0-266A-3B64-E0FFEAE63CB9}"/>
            </a:ext>
          </a:extLst>
        </xdr:cNvPr>
        <xdr:cNvSpPr txBox="1"/>
      </xdr:nvSpPr>
      <xdr:spPr>
        <a:xfrm>
          <a:off x="5686425" y="742950"/>
          <a:ext cx="22669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rPr>
            <a:t>Target</a:t>
          </a:r>
          <a:r>
            <a:rPr lang="en-US" sz="1800" b="1" baseline="0">
              <a:solidFill>
                <a:srgbClr val="002060"/>
              </a:solidFill>
            </a:rPr>
            <a:t> </a:t>
          </a:r>
          <a:r>
            <a:rPr lang="en-US" sz="1800" b="1">
              <a:solidFill>
                <a:srgbClr val="002060"/>
              </a:solidFill>
            </a:rPr>
            <a:t>Sales</a:t>
          </a:r>
        </a:p>
      </xdr:txBody>
    </xdr:sp>
    <xdr:clientData/>
  </xdr:twoCellAnchor>
  <xdr:twoCellAnchor>
    <xdr:from>
      <xdr:col>10</xdr:col>
      <xdr:colOff>123825</xdr:colOff>
      <xdr:row>7</xdr:row>
      <xdr:rowOff>0</xdr:rowOff>
    </xdr:from>
    <xdr:to>
      <xdr:col>13</xdr:col>
      <xdr:colOff>57150</xdr:colOff>
      <xdr:row>10</xdr:row>
      <xdr:rowOff>0</xdr:rowOff>
    </xdr:to>
    <xdr:sp macro="" textlink="Pivot!C6">
      <xdr:nvSpPr>
        <xdr:cNvPr id="45" name="TextBox 44">
          <a:extLst>
            <a:ext uri="{FF2B5EF4-FFF2-40B4-BE49-F238E27FC236}">
              <a16:creationId xmlns:a16="http://schemas.microsoft.com/office/drawing/2014/main" id="{EC97837C-01F9-D856-3109-B2E605858D23}"/>
            </a:ext>
          </a:extLst>
        </xdr:cNvPr>
        <xdr:cNvSpPr txBox="1"/>
      </xdr:nvSpPr>
      <xdr:spPr>
        <a:xfrm>
          <a:off x="6219825" y="1143000"/>
          <a:ext cx="1762125" cy="59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63AAD3-B8C3-4E4A-9BD0-905DAE1D7F8E}" type="TxLink">
            <a:rPr lang="en-US" sz="2400" b="1" i="0" u="none" strike="noStrike">
              <a:solidFill>
                <a:schemeClr val="tx1"/>
              </a:solidFill>
              <a:latin typeface="Aptos Narrow"/>
              <a:ea typeface="+mn-ea"/>
              <a:cs typeface="+mn-cs"/>
            </a:rPr>
            <a:pPr marL="0" indent="0" algn="ctr"/>
            <a:t>$1,66,999</a:t>
          </a:fld>
          <a:endParaRPr lang="en-US" sz="2400" b="1" i="0" u="none" strike="noStrike">
            <a:solidFill>
              <a:schemeClr val="tx1"/>
            </a:solidFill>
            <a:latin typeface="Aptos Narrow"/>
            <a:ea typeface="+mn-ea"/>
            <a:cs typeface="+mn-cs"/>
          </a:endParaRPr>
        </a:p>
      </xdr:txBody>
    </xdr:sp>
    <xdr:clientData/>
  </xdr:twoCellAnchor>
  <xdr:twoCellAnchor editAs="oneCell">
    <xdr:from>
      <xdr:col>9</xdr:col>
      <xdr:colOff>200025</xdr:colOff>
      <xdr:row>6</xdr:row>
      <xdr:rowOff>47625</xdr:rowOff>
    </xdr:from>
    <xdr:to>
      <xdr:col>10</xdr:col>
      <xdr:colOff>371475</xdr:colOff>
      <xdr:row>10</xdr:row>
      <xdr:rowOff>66675</xdr:rowOff>
    </xdr:to>
    <xdr:pic>
      <xdr:nvPicPr>
        <xdr:cNvPr id="47" name="Graphic 46" descr="Coins with solid fill">
          <a:extLst>
            <a:ext uri="{FF2B5EF4-FFF2-40B4-BE49-F238E27FC236}">
              <a16:creationId xmlns:a16="http://schemas.microsoft.com/office/drawing/2014/main" id="{BFAA5E33-A507-4C79-AD03-24DE91F6C3D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86425" y="1000125"/>
          <a:ext cx="781050" cy="781050"/>
        </a:xfrm>
        <a:prstGeom prst="rect">
          <a:avLst/>
        </a:prstGeom>
      </xdr:spPr>
    </xdr:pic>
    <xdr:clientData/>
  </xdr:twoCellAnchor>
  <xdr:twoCellAnchor>
    <xdr:from>
      <xdr:col>13</xdr:col>
      <xdr:colOff>180984</xdr:colOff>
      <xdr:row>5</xdr:row>
      <xdr:rowOff>19046</xdr:rowOff>
    </xdr:from>
    <xdr:to>
      <xdr:col>16</xdr:col>
      <xdr:colOff>419100</xdr:colOff>
      <xdr:row>10</xdr:row>
      <xdr:rowOff>0</xdr:rowOff>
    </xdr:to>
    <xdr:sp macro="" textlink="">
      <xdr:nvSpPr>
        <xdr:cNvPr id="49" name="Rectangle: Rounded Corners 48">
          <a:extLst>
            <a:ext uri="{FF2B5EF4-FFF2-40B4-BE49-F238E27FC236}">
              <a16:creationId xmlns:a16="http://schemas.microsoft.com/office/drawing/2014/main" id="{7B7CB19D-C83E-27DC-DF8E-76471E1E6446}"/>
            </a:ext>
          </a:extLst>
        </xdr:cNvPr>
        <xdr:cNvSpPr/>
      </xdr:nvSpPr>
      <xdr:spPr>
        <a:xfrm rot="16200000">
          <a:off x="8672515" y="214315"/>
          <a:ext cx="933454" cy="206691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247655</xdr:colOff>
      <xdr:row>6</xdr:row>
      <xdr:rowOff>66673</xdr:rowOff>
    </xdr:from>
    <xdr:to>
      <xdr:col>14</xdr:col>
      <xdr:colOff>342907</xdr:colOff>
      <xdr:row>10</xdr:row>
      <xdr:rowOff>9525</xdr:rowOff>
    </xdr:to>
    <xdr:pic>
      <xdr:nvPicPr>
        <xdr:cNvPr id="48" name="Graphic 47" descr="Money with solid fill">
          <a:extLst>
            <a:ext uri="{FF2B5EF4-FFF2-40B4-BE49-F238E27FC236}">
              <a16:creationId xmlns:a16="http://schemas.microsoft.com/office/drawing/2014/main" id="{4756814E-A8D0-4231-9CA2-8096C499A8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172455" y="1019173"/>
          <a:ext cx="704852" cy="704852"/>
        </a:xfrm>
        <a:prstGeom prst="rect">
          <a:avLst/>
        </a:prstGeom>
      </xdr:spPr>
    </xdr:pic>
    <xdr:clientData/>
  </xdr:twoCellAnchor>
  <xdr:twoCellAnchor>
    <xdr:from>
      <xdr:col>13</xdr:col>
      <xdr:colOff>200024</xdr:colOff>
      <xdr:row>4</xdr:row>
      <xdr:rowOff>171450</xdr:rowOff>
    </xdr:from>
    <xdr:to>
      <xdr:col>16</xdr:col>
      <xdr:colOff>409575</xdr:colOff>
      <xdr:row>7</xdr:row>
      <xdr:rowOff>9525</xdr:rowOff>
    </xdr:to>
    <xdr:sp macro="" textlink="">
      <xdr:nvSpPr>
        <xdr:cNvPr id="50" name="TextBox 49">
          <a:extLst>
            <a:ext uri="{FF2B5EF4-FFF2-40B4-BE49-F238E27FC236}">
              <a16:creationId xmlns:a16="http://schemas.microsoft.com/office/drawing/2014/main" id="{659902E8-6A3F-76EC-AC10-5D1142EBDD42}"/>
            </a:ext>
          </a:extLst>
        </xdr:cNvPr>
        <xdr:cNvSpPr txBox="1"/>
      </xdr:nvSpPr>
      <xdr:spPr>
        <a:xfrm>
          <a:off x="8124824" y="742950"/>
          <a:ext cx="2038351"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rPr>
            <a:t>Total Profit</a:t>
          </a:r>
        </a:p>
      </xdr:txBody>
    </xdr:sp>
    <xdr:clientData/>
  </xdr:twoCellAnchor>
  <xdr:twoCellAnchor>
    <xdr:from>
      <xdr:col>14</xdr:col>
      <xdr:colOff>133350</xdr:colOff>
      <xdr:row>7</xdr:row>
      <xdr:rowOff>9525</xdr:rowOff>
    </xdr:from>
    <xdr:to>
      <xdr:col>17</xdr:col>
      <xdr:colOff>66675</xdr:colOff>
      <xdr:row>10</xdr:row>
      <xdr:rowOff>0</xdr:rowOff>
    </xdr:to>
    <xdr:sp macro="" textlink="Pivot!E6">
      <xdr:nvSpPr>
        <xdr:cNvPr id="51" name="TextBox 50">
          <a:extLst>
            <a:ext uri="{FF2B5EF4-FFF2-40B4-BE49-F238E27FC236}">
              <a16:creationId xmlns:a16="http://schemas.microsoft.com/office/drawing/2014/main" id="{1AEF8D76-3ADE-6726-66AC-21ECFA57C73E}"/>
            </a:ext>
          </a:extLst>
        </xdr:cNvPr>
        <xdr:cNvSpPr txBox="1"/>
      </xdr:nvSpPr>
      <xdr:spPr>
        <a:xfrm>
          <a:off x="8667750" y="1152525"/>
          <a:ext cx="176212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72A537-8F2F-4CF6-BD24-773E8434C5C5}" type="TxLink">
            <a:rPr lang="en-US" sz="2400" b="1" i="0" u="none" strike="noStrike">
              <a:solidFill>
                <a:schemeClr val="tx1"/>
              </a:solidFill>
              <a:latin typeface="Aptos Narrow"/>
              <a:ea typeface="+mn-ea"/>
              <a:cs typeface="+mn-cs"/>
            </a:rPr>
            <a:pPr marL="0" indent="0" algn="ctr"/>
            <a:t>$1,13,301</a:t>
          </a:fld>
          <a:endParaRPr lang="en-US" sz="2400" b="1" i="0" u="none" strike="noStrike">
            <a:solidFill>
              <a:schemeClr val="tx1"/>
            </a:solidFill>
            <a:latin typeface="Aptos Narrow"/>
            <a:ea typeface="+mn-ea"/>
            <a:cs typeface="+mn-cs"/>
          </a:endParaRPr>
        </a:p>
      </xdr:txBody>
    </xdr:sp>
    <xdr:clientData/>
  </xdr:twoCellAnchor>
  <xdr:twoCellAnchor>
    <xdr:from>
      <xdr:col>16</xdr:col>
      <xdr:colOff>552451</xdr:colOff>
      <xdr:row>5</xdr:row>
      <xdr:rowOff>28571</xdr:rowOff>
    </xdr:from>
    <xdr:to>
      <xdr:col>21</xdr:col>
      <xdr:colOff>180978</xdr:colOff>
      <xdr:row>10</xdr:row>
      <xdr:rowOff>9525</xdr:rowOff>
    </xdr:to>
    <xdr:sp macro="" textlink="">
      <xdr:nvSpPr>
        <xdr:cNvPr id="52" name="Rectangle: Rounded Corners 51">
          <a:extLst>
            <a:ext uri="{FF2B5EF4-FFF2-40B4-BE49-F238E27FC236}">
              <a16:creationId xmlns:a16="http://schemas.microsoft.com/office/drawing/2014/main" id="{E0C3E644-7556-BF44-16F1-F2521C97D05E}"/>
            </a:ext>
          </a:extLst>
        </xdr:cNvPr>
        <xdr:cNvSpPr/>
      </xdr:nvSpPr>
      <xdr:spPr>
        <a:xfrm rot="16200000">
          <a:off x="11177588" y="-80966"/>
          <a:ext cx="933454" cy="267652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38101</xdr:colOff>
      <xdr:row>5</xdr:row>
      <xdr:rowOff>66676</xdr:rowOff>
    </xdr:from>
    <xdr:to>
      <xdr:col>21</xdr:col>
      <xdr:colOff>476251</xdr:colOff>
      <xdr:row>10</xdr:row>
      <xdr:rowOff>38100</xdr:rowOff>
    </xdr:to>
    <xdr:graphicFrame macro="">
      <xdr:nvGraphicFramePr>
        <xdr:cNvPr id="53" name="Chart 52">
          <a:extLst>
            <a:ext uri="{FF2B5EF4-FFF2-40B4-BE49-F238E27FC236}">
              <a16:creationId xmlns:a16="http://schemas.microsoft.com/office/drawing/2014/main" id="{0BF0C765-1B9A-4C0B-BCD3-8CF4BAF9E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342899</xdr:colOff>
      <xdr:row>5</xdr:row>
      <xdr:rowOff>28575</xdr:rowOff>
    </xdr:from>
    <xdr:to>
      <xdr:col>19</xdr:col>
      <xdr:colOff>552450</xdr:colOff>
      <xdr:row>7</xdr:row>
      <xdr:rowOff>57150</xdr:rowOff>
    </xdr:to>
    <xdr:sp macro="" textlink="">
      <xdr:nvSpPr>
        <xdr:cNvPr id="54" name="TextBox 53">
          <a:extLst>
            <a:ext uri="{FF2B5EF4-FFF2-40B4-BE49-F238E27FC236}">
              <a16:creationId xmlns:a16="http://schemas.microsoft.com/office/drawing/2014/main" id="{DD4892B9-F5CB-6E1B-A173-61EA758849B1}"/>
            </a:ext>
          </a:extLst>
        </xdr:cNvPr>
        <xdr:cNvSpPr txBox="1"/>
      </xdr:nvSpPr>
      <xdr:spPr>
        <a:xfrm>
          <a:off x="10096499" y="790575"/>
          <a:ext cx="2038351"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rPr>
            <a:t>Sale</a:t>
          </a:r>
          <a:r>
            <a:rPr lang="en-US" sz="1800" b="1" baseline="0">
              <a:solidFill>
                <a:srgbClr val="002060"/>
              </a:solidFill>
            </a:rPr>
            <a:t> vs Target</a:t>
          </a:r>
          <a:endParaRPr lang="en-US" sz="1800" b="1">
            <a:solidFill>
              <a:srgbClr val="002060"/>
            </a:solidFill>
          </a:endParaRPr>
        </a:p>
      </xdr:txBody>
    </xdr:sp>
    <xdr:clientData/>
  </xdr:twoCellAnchor>
  <xdr:twoCellAnchor>
    <xdr:from>
      <xdr:col>16</xdr:col>
      <xdr:colOff>495300</xdr:colOff>
      <xdr:row>6</xdr:row>
      <xdr:rowOff>152400</xdr:rowOff>
    </xdr:from>
    <xdr:to>
      <xdr:col>19</xdr:col>
      <xdr:colOff>428625</xdr:colOff>
      <xdr:row>9</xdr:row>
      <xdr:rowOff>142875</xdr:rowOff>
    </xdr:to>
    <xdr:sp macro="" textlink="Pivot!F9">
      <xdr:nvSpPr>
        <xdr:cNvPr id="55" name="TextBox 54">
          <a:extLst>
            <a:ext uri="{FF2B5EF4-FFF2-40B4-BE49-F238E27FC236}">
              <a16:creationId xmlns:a16="http://schemas.microsoft.com/office/drawing/2014/main" id="{71AD30FE-552C-DA7C-1161-66C4A79DBD20}"/>
            </a:ext>
          </a:extLst>
        </xdr:cNvPr>
        <xdr:cNvSpPr txBox="1"/>
      </xdr:nvSpPr>
      <xdr:spPr>
        <a:xfrm>
          <a:off x="10248900" y="1104900"/>
          <a:ext cx="176212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ADB365-E675-4948-8A29-6CA62D0F2CEC}" type="TxLink">
            <a:rPr lang="en-US" sz="2800" b="1" i="0" u="none" strike="noStrike">
              <a:solidFill>
                <a:schemeClr val="tx1"/>
              </a:solidFill>
              <a:latin typeface="Aptos Narrow"/>
              <a:ea typeface="+mn-ea"/>
              <a:cs typeface="+mn-cs"/>
            </a:rPr>
            <a:pPr marL="0" indent="0" algn="ctr"/>
            <a:t>94.2%</a:t>
          </a:fld>
          <a:endParaRPr lang="en-US" sz="2800" b="1" i="0" u="none" strike="noStrike">
            <a:solidFill>
              <a:schemeClr val="tx1"/>
            </a:solidFill>
            <a:latin typeface="Aptos Narrow"/>
            <a:ea typeface="+mn-ea"/>
            <a:cs typeface="+mn-cs"/>
          </a:endParaRPr>
        </a:p>
      </xdr:txBody>
    </xdr:sp>
    <xdr:clientData/>
  </xdr:twoCellAnchor>
  <xdr:twoCellAnchor>
    <xdr:from>
      <xdr:col>3</xdr:col>
      <xdr:colOff>123825</xdr:colOff>
      <xdr:row>0</xdr:row>
      <xdr:rowOff>95250</xdr:rowOff>
    </xdr:from>
    <xdr:to>
      <xdr:col>21</xdr:col>
      <xdr:colOff>342900</xdr:colOff>
      <xdr:row>4</xdr:row>
      <xdr:rowOff>114299</xdr:rowOff>
    </xdr:to>
    <xdr:sp macro="" textlink="">
      <xdr:nvSpPr>
        <xdr:cNvPr id="56" name="TextBox 55">
          <a:extLst>
            <a:ext uri="{FF2B5EF4-FFF2-40B4-BE49-F238E27FC236}">
              <a16:creationId xmlns:a16="http://schemas.microsoft.com/office/drawing/2014/main" id="{835A8775-4FC9-8D8F-E578-952C5BBD1652}"/>
            </a:ext>
          </a:extLst>
        </xdr:cNvPr>
        <xdr:cNvSpPr txBox="1"/>
      </xdr:nvSpPr>
      <xdr:spPr>
        <a:xfrm>
          <a:off x="1952625" y="95250"/>
          <a:ext cx="11191875" cy="781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a:solidFill>
                <a:schemeClr val="tx2"/>
              </a:solidFill>
            </a:rPr>
            <a:t>Customer Profitability Analysis </a:t>
          </a:r>
          <a:r>
            <a:rPr lang="en-US" sz="4400" baseline="0">
              <a:solidFill>
                <a:schemeClr val="tx2"/>
              </a:solidFill>
            </a:rPr>
            <a:t>Dashboard</a:t>
          </a:r>
          <a:endParaRPr lang="en-US" sz="4400">
            <a:solidFill>
              <a:schemeClr val="tx2"/>
            </a:solidFill>
          </a:endParaRPr>
        </a:p>
      </xdr:txBody>
    </xdr:sp>
    <xdr:clientData/>
  </xdr:twoCellAnchor>
  <xdr:twoCellAnchor editAs="oneCell">
    <xdr:from>
      <xdr:col>2</xdr:col>
      <xdr:colOff>533400</xdr:colOff>
      <xdr:row>0</xdr:row>
      <xdr:rowOff>38100</xdr:rowOff>
    </xdr:from>
    <xdr:to>
      <xdr:col>4</xdr:col>
      <xdr:colOff>228600</xdr:colOff>
      <xdr:row>5</xdr:row>
      <xdr:rowOff>0</xdr:rowOff>
    </xdr:to>
    <xdr:pic>
      <xdr:nvPicPr>
        <xdr:cNvPr id="58" name="Graphic 57" descr="Pie chart with solid fill">
          <a:extLst>
            <a:ext uri="{FF2B5EF4-FFF2-40B4-BE49-F238E27FC236}">
              <a16:creationId xmlns:a16="http://schemas.microsoft.com/office/drawing/2014/main" id="{76E0590D-416D-DAC8-5553-B6E53EBC315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752600" y="38100"/>
          <a:ext cx="914400" cy="914400"/>
        </a:xfrm>
        <a:prstGeom prst="rect">
          <a:avLst/>
        </a:prstGeom>
      </xdr:spPr>
    </xdr:pic>
    <xdr:clientData/>
  </xdr:twoCellAnchor>
  <xdr:twoCellAnchor editAs="oneCell">
    <xdr:from>
      <xdr:col>0</xdr:col>
      <xdr:colOff>133350</xdr:colOff>
      <xdr:row>22</xdr:row>
      <xdr:rowOff>133351</xdr:rowOff>
    </xdr:from>
    <xdr:to>
      <xdr:col>2</xdr:col>
      <xdr:colOff>247650</xdr:colOff>
      <xdr:row>27</xdr:row>
      <xdr:rowOff>152400</xdr:rowOff>
    </xdr:to>
    <mc:AlternateContent xmlns:mc="http://schemas.openxmlformats.org/markup-compatibility/2006" xmlns:a14="http://schemas.microsoft.com/office/drawing/2010/main">
      <mc:Choice Requires="a14">
        <xdr:graphicFrame macro="">
          <xdr:nvGraphicFramePr>
            <xdr:cNvPr id="60" name="Region">
              <a:extLst>
                <a:ext uri="{FF2B5EF4-FFF2-40B4-BE49-F238E27FC236}">
                  <a16:creationId xmlns:a16="http://schemas.microsoft.com/office/drawing/2014/main" id="{D0E3A8B6-7315-4E47-B27A-849BCA5014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50" y="4324351"/>
              <a:ext cx="1333500" cy="971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28</xdr:row>
      <xdr:rowOff>66675</xdr:rowOff>
    </xdr:from>
    <xdr:to>
      <xdr:col>2</xdr:col>
      <xdr:colOff>257175</xdr:colOff>
      <xdr:row>37</xdr:row>
      <xdr:rowOff>161925</xdr:rowOff>
    </xdr:to>
    <mc:AlternateContent xmlns:mc="http://schemas.openxmlformats.org/markup-compatibility/2006" xmlns:a14="http://schemas.microsoft.com/office/drawing/2010/main">
      <mc:Choice Requires="a14">
        <xdr:graphicFrame macro="">
          <xdr:nvGraphicFramePr>
            <xdr:cNvPr id="62" name="Customer Satisfaction">
              <a:extLst>
                <a:ext uri="{FF2B5EF4-FFF2-40B4-BE49-F238E27FC236}">
                  <a16:creationId xmlns:a16="http://schemas.microsoft.com/office/drawing/2014/main" id="{4AFA090A-D990-438B-BE8B-6857BF82CA9F}"/>
                </a:ext>
              </a:extLst>
            </xdr:cNvPr>
            <xdr:cNvGraphicFramePr/>
          </xdr:nvGraphicFramePr>
          <xdr:xfrm>
            <a:off x="0" y="0"/>
            <a:ext cx="0" cy="0"/>
          </xdr:xfrm>
          <a:graphic>
            <a:graphicData uri="http://schemas.microsoft.com/office/drawing/2010/slicer">
              <sle:slicer xmlns:sle="http://schemas.microsoft.com/office/drawing/2010/slicer" name="Customer Satisfaction"/>
            </a:graphicData>
          </a:graphic>
        </xdr:graphicFrame>
      </mc:Choice>
      <mc:Fallback xmlns="">
        <xdr:sp macro="" textlink="">
          <xdr:nvSpPr>
            <xdr:cNvPr id="0" name=""/>
            <xdr:cNvSpPr>
              <a:spLocks noTextEdit="1"/>
            </xdr:cNvSpPr>
          </xdr:nvSpPr>
          <xdr:spPr>
            <a:xfrm>
              <a:off x="123825" y="5400675"/>
              <a:ext cx="135255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xdr:row>
      <xdr:rowOff>1</xdr:rowOff>
    </xdr:from>
    <xdr:to>
      <xdr:col>2</xdr:col>
      <xdr:colOff>228600</xdr:colOff>
      <xdr:row>12</xdr:row>
      <xdr:rowOff>1</xdr:rowOff>
    </xdr:to>
    <mc:AlternateContent xmlns:mc="http://schemas.openxmlformats.org/markup-compatibility/2006" xmlns:a14="http://schemas.microsoft.com/office/drawing/2010/main">
      <mc:Choice Requires="a14">
        <xdr:graphicFrame macro="">
          <xdr:nvGraphicFramePr>
            <xdr:cNvPr id="63" name="Month">
              <a:extLst>
                <a:ext uri="{FF2B5EF4-FFF2-40B4-BE49-F238E27FC236}">
                  <a16:creationId xmlns:a16="http://schemas.microsoft.com/office/drawing/2014/main" id="{A9B0E74A-C1FD-4F1B-A61C-6A35EFD1FF7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4775" y="190501"/>
              <a:ext cx="1343025"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12</xdr:row>
      <xdr:rowOff>85725</xdr:rowOff>
    </xdr:from>
    <xdr:to>
      <xdr:col>2</xdr:col>
      <xdr:colOff>238125</xdr:colOff>
      <xdr:row>22</xdr:row>
      <xdr:rowOff>66675</xdr:rowOff>
    </xdr:to>
    <mc:AlternateContent xmlns:mc="http://schemas.openxmlformats.org/markup-compatibility/2006" xmlns:a14="http://schemas.microsoft.com/office/drawing/2010/main">
      <mc:Choice Requires="a14">
        <xdr:graphicFrame macro="">
          <xdr:nvGraphicFramePr>
            <xdr:cNvPr id="64" name="Country">
              <a:extLst>
                <a:ext uri="{FF2B5EF4-FFF2-40B4-BE49-F238E27FC236}">
                  <a16:creationId xmlns:a16="http://schemas.microsoft.com/office/drawing/2014/main" id="{A07B056E-E8FC-4547-A535-3303DB1029F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300" y="2371725"/>
              <a:ext cx="1343025"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0.689075231479" createdVersion="8" refreshedVersion="8" minRefreshableVersion="3" recordCount="63" xr:uid="{F7B113D8-B8CF-4A4F-898A-6F838FC1DBEF}">
  <cacheSource type="worksheet">
    <worksheetSource name="Table1"/>
  </cacheSource>
  <cacheFields count="14">
    <cacheField name="Date" numFmtId="14">
      <sharedItems containsSemiMixedTypes="0" containsNonDate="0" containsDate="1" containsString="0" minDate="2023-01-02T00:00:00" maxDate="2023-12-16T00:00:00"/>
    </cacheField>
    <cacheField name="Month" numFmtId="14">
      <sharedItems count="12">
        <s v="May"/>
        <s v="Feb"/>
        <s v="Oct"/>
        <s v="Nov"/>
        <s v="Mar"/>
        <s v="Apr"/>
        <s v="Aug"/>
        <s v="Jun"/>
        <s v="Jul"/>
        <s v="Sep"/>
        <s v="Dec"/>
        <s v="Jan"/>
      </sharedItems>
    </cacheField>
    <cacheField name="Year" numFmtId="0">
      <sharedItems containsSemiMixedTypes="0" containsString="0" containsNumber="1" containsInteger="1" minValue="2023" maxValue="2023"/>
    </cacheField>
    <cacheField name="Region" numFmtId="0">
      <sharedItems count="4">
        <s v="East"/>
        <s v="West"/>
        <s v="South"/>
        <s v="North"/>
      </sharedItems>
    </cacheField>
    <cacheField name="Sales" numFmtId="0">
      <sharedItems containsSemiMixedTypes="0" containsString="0" containsNumber="1" containsInteger="1" minValue="1000" maxValue="6500" count="28">
        <n v="2581"/>
        <n v="3944"/>
        <n v="3293"/>
        <n v="2019"/>
        <n v="2980"/>
        <n v="2209"/>
        <n v="2440"/>
        <n v="2000"/>
        <n v="1431"/>
        <n v="3000"/>
        <n v="4000"/>
        <n v="1000"/>
        <n v="6000"/>
        <n v="6500"/>
        <n v="1200"/>
        <n v="4500"/>
        <n v="5500"/>
        <n v="1700"/>
        <n v="1600"/>
        <n v="2500"/>
        <n v="2100"/>
        <n v="2150"/>
        <n v="2200"/>
        <n v="1800"/>
        <n v="1414"/>
        <n v="2250"/>
        <n v="2400"/>
        <n v="2450"/>
      </sharedItems>
    </cacheField>
    <cacheField name="Profit" numFmtId="1">
      <sharedItems containsSemiMixedTypes="0" containsString="0" containsNumber="1" minValue="385.71428571428601" maxValue="5214.2857142857101"/>
    </cacheField>
    <cacheField name="Target Sales" numFmtId="1">
      <sharedItems containsSemiMixedTypes="0" containsString="0" containsNumber="1" minValue="285.71428571428572" maxValue="6714.2857142857101"/>
    </cacheField>
    <cacheField name="No of Customers" numFmtId="0">
      <sharedItems containsSemiMixedTypes="0" containsString="0" containsNumber="1" containsInteger="1" minValue="15" maxValue="310"/>
    </cacheField>
    <cacheField name="Sales Completion Rate" numFmtId="0">
      <sharedItems containsSemiMixedTypes="0" containsString="0" containsNumber="1" minValue="0.7" maxValue="0.99"/>
    </cacheField>
    <cacheField name="Profit Completion Rate" numFmtId="0">
      <sharedItems containsSemiMixedTypes="0" containsString="0" containsNumber="1" minValue="0.7" maxValue="0.99"/>
    </cacheField>
    <cacheField name="Customer Completion Rate" numFmtId="0">
      <sharedItems containsSemiMixedTypes="0" containsString="0" containsNumber="1" minValue="0.7" maxValue="0.99"/>
    </cacheField>
    <cacheField name="Country" numFmtId="0">
      <sharedItems count="5">
        <s v="Argentina"/>
        <s v="Colombia"/>
        <s v="Brazil"/>
        <s v="Ecuador"/>
        <s v="Peru"/>
      </sharedItems>
    </cacheField>
    <cacheField name="Customer Satisfaction" numFmtId="0">
      <sharedItems count="5">
        <s v="Speed"/>
        <s v="Quality"/>
        <s v="Hygiene"/>
        <s v="Service"/>
        <s v="Availability"/>
      </sharedItems>
    </cacheField>
    <cacheField name="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351552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d v="2023-05-14T00:00:00"/>
    <x v="0"/>
    <n v="2023"/>
    <x v="0"/>
    <x v="0"/>
    <n v="2957.1428571428601"/>
    <n v="5857"/>
    <n v="80"/>
    <n v="0.89"/>
    <n v="0.85"/>
    <n v="0.72"/>
    <x v="0"/>
    <x v="0"/>
    <n v="8"/>
  </r>
  <r>
    <d v="2023-02-26T00:00:00"/>
    <x v="1"/>
    <n v="2023"/>
    <x v="1"/>
    <x v="1"/>
    <n v="2957.1428571428601"/>
    <n v="5857"/>
    <n v="30"/>
    <n v="0.94"/>
    <n v="0.95"/>
    <n v="0.86"/>
    <x v="1"/>
    <x v="1"/>
    <n v="4"/>
  </r>
  <r>
    <d v="2023-02-27T00:00:00"/>
    <x v="1"/>
    <n v="2023"/>
    <x v="2"/>
    <x v="2"/>
    <n v="2957.1428571428601"/>
    <n v="5857"/>
    <n v="15"/>
    <n v="0.82"/>
    <n v="0.8"/>
    <n v="0.76"/>
    <x v="2"/>
    <x v="2"/>
    <n v="3"/>
  </r>
  <r>
    <d v="2023-02-28T00:00:00"/>
    <x v="1"/>
    <n v="2023"/>
    <x v="2"/>
    <x v="3"/>
    <n v="2957.1428571428601"/>
    <n v="5857"/>
    <n v="40"/>
    <n v="0.79"/>
    <n v="0.79"/>
    <n v="0.79"/>
    <x v="3"/>
    <x v="0"/>
    <n v="2"/>
  </r>
  <r>
    <d v="2023-10-29T00:00:00"/>
    <x v="2"/>
    <n v="2023"/>
    <x v="1"/>
    <x v="4"/>
    <n v="2958"/>
    <n v="5857"/>
    <n v="100"/>
    <n v="0.96"/>
    <n v="0.79"/>
    <n v="0.7"/>
    <x v="4"/>
    <x v="3"/>
    <n v="7"/>
  </r>
  <r>
    <d v="2023-10-30T00:00:00"/>
    <x v="2"/>
    <n v="2023"/>
    <x v="1"/>
    <x v="5"/>
    <n v="2957.1428571428601"/>
    <n v="5857"/>
    <n v="15"/>
    <n v="0.79"/>
    <n v="0.79"/>
    <n v="0.77"/>
    <x v="4"/>
    <x v="0"/>
    <n v="9"/>
  </r>
  <r>
    <d v="2023-10-31T00:00:00"/>
    <x v="2"/>
    <n v="2023"/>
    <x v="3"/>
    <x v="6"/>
    <n v="2957.1428571428601"/>
    <n v="5857"/>
    <n v="20"/>
    <n v="0.75"/>
    <n v="0.72"/>
    <n v="0.93"/>
    <x v="4"/>
    <x v="1"/>
    <n v="5"/>
  </r>
  <r>
    <d v="2023-11-01T00:00:00"/>
    <x v="3"/>
    <n v="2023"/>
    <x v="3"/>
    <x v="7"/>
    <n v="1328.57142857143"/>
    <n v="4428.5714285714303"/>
    <n v="90"/>
    <n v="0.92"/>
    <n v="0.99"/>
    <n v="0.74"/>
    <x v="2"/>
    <x v="1"/>
    <n v="6"/>
  </r>
  <r>
    <d v="2023-11-02T00:00:00"/>
    <x v="3"/>
    <n v="2023"/>
    <x v="3"/>
    <x v="8"/>
    <n v="1328.57142857143"/>
    <n v="4428.5714285714303"/>
    <n v="30"/>
    <n v="0.7"/>
    <n v="0.99"/>
    <n v="0.95"/>
    <x v="2"/>
    <x v="3"/>
    <n v="8"/>
  </r>
  <r>
    <d v="2023-11-03T00:00:00"/>
    <x v="3"/>
    <n v="2023"/>
    <x v="1"/>
    <x v="9"/>
    <n v="1328.57142857143"/>
    <n v="4428.5714285714303"/>
    <n v="15"/>
    <n v="0.91"/>
    <n v="0.98"/>
    <n v="0.89"/>
    <x v="2"/>
    <x v="3"/>
    <n v="4"/>
  </r>
  <r>
    <d v="2023-05-14T00:00:00"/>
    <x v="0"/>
    <n v="2023"/>
    <x v="1"/>
    <x v="10"/>
    <n v="1328.57142857143"/>
    <n v="4428.5714285714303"/>
    <n v="40"/>
    <n v="0.74"/>
    <n v="0.85"/>
    <n v="0.7"/>
    <x v="2"/>
    <x v="0"/>
    <n v="3"/>
  </r>
  <r>
    <d v="2023-10-26T00:00:00"/>
    <x v="2"/>
    <n v="2023"/>
    <x v="0"/>
    <x v="11"/>
    <n v="1328.57142857143"/>
    <n v="4428.5714285714303"/>
    <n v="100"/>
    <n v="0.9"/>
    <n v="0.9"/>
    <n v="0.72"/>
    <x v="2"/>
    <x v="1"/>
    <n v="2"/>
  </r>
  <r>
    <d v="2023-03-10T00:00:00"/>
    <x v="4"/>
    <n v="2023"/>
    <x v="0"/>
    <x v="7"/>
    <n v="1328.57142857143"/>
    <n v="4428.5714285714303"/>
    <n v="15"/>
    <n v="0.95"/>
    <n v="0.97"/>
    <n v="0.81"/>
    <x v="2"/>
    <x v="2"/>
    <n v="7"/>
  </r>
  <r>
    <d v="2023-04-28T00:00:00"/>
    <x v="5"/>
    <n v="2023"/>
    <x v="2"/>
    <x v="7"/>
    <n v="1328.57142857143"/>
    <n v="4428.5714285714303"/>
    <n v="20"/>
    <n v="0.99"/>
    <n v="0.79"/>
    <n v="0.75"/>
    <x v="2"/>
    <x v="3"/>
    <n v="9"/>
  </r>
  <r>
    <d v="2023-10-19T00:00:00"/>
    <x v="2"/>
    <n v="2023"/>
    <x v="2"/>
    <x v="10"/>
    <n v="1328.57142857143"/>
    <n v="1428.57142857143"/>
    <n v="45"/>
    <n v="0.86"/>
    <n v="0.97"/>
    <n v="0.89"/>
    <x v="0"/>
    <x v="4"/>
    <n v="5"/>
  </r>
  <r>
    <d v="2023-08-22T00:00:00"/>
    <x v="6"/>
    <n v="2023"/>
    <x v="0"/>
    <x v="12"/>
    <n v="1328.57142857143"/>
    <n v="1428.57142857143"/>
    <n v="43"/>
    <n v="0.83"/>
    <n v="0.72"/>
    <n v="0.74"/>
    <x v="1"/>
    <x v="0"/>
    <n v="6"/>
  </r>
  <r>
    <d v="2023-08-09T00:00:00"/>
    <x v="6"/>
    <n v="2023"/>
    <x v="1"/>
    <x v="13"/>
    <n v="1328.57142857143"/>
    <n v="1428.57142857143"/>
    <n v="43"/>
    <n v="0.74"/>
    <n v="0.78"/>
    <n v="0.94"/>
    <x v="2"/>
    <x v="1"/>
    <n v="8"/>
  </r>
  <r>
    <d v="2023-06-01T00:00:00"/>
    <x v="7"/>
    <n v="2023"/>
    <x v="3"/>
    <x v="14"/>
    <n v="1328.57142857143"/>
    <n v="1428.57142857143"/>
    <n v="43"/>
    <n v="0.8"/>
    <n v="0.84"/>
    <n v="0.81"/>
    <x v="3"/>
    <x v="1"/>
    <n v="4"/>
  </r>
  <r>
    <d v="2023-03-01T00:00:00"/>
    <x v="4"/>
    <n v="2023"/>
    <x v="3"/>
    <x v="9"/>
    <n v="1328.57142857143"/>
    <n v="1428.5714285714287"/>
    <n v="43"/>
    <n v="0.89"/>
    <n v="0.99"/>
    <n v="0.97"/>
    <x v="0"/>
    <x v="0"/>
    <n v="3"/>
  </r>
  <r>
    <d v="2023-11-27T00:00:00"/>
    <x v="3"/>
    <n v="2023"/>
    <x v="3"/>
    <x v="7"/>
    <n v="1328.57142857143"/>
    <n v="1428.5714285714287"/>
    <n v="40"/>
    <n v="0.71"/>
    <n v="0.87"/>
    <n v="0.94"/>
    <x v="1"/>
    <x v="4"/>
    <n v="2"/>
  </r>
  <r>
    <d v="2023-10-14T00:00:00"/>
    <x v="2"/>
    <n v="2023"/>
    <x v="3"/>
    <x v="7"/>
    <n v="1328.57142857143"/>
    <n v="1428.5714285714287"/>
    <n v="43"/>
    <n v="0.9"/>
    <n v="0.72"/>
    <n v="0.94"/>
    <x v="2"/>
    <x v="0"/>
    <n v="7"/>
  </r>
  <r>
    <d v="2023-06-21T00:00:00"/>
    <x v="7"/>
    <n v="2023"/>
    <x v="0"/>
    <x v="9"/>
    <n v="5214.2857142857101"/>
    <n v="6714.2857142857101"/>
    <n v="100"/>
    <n v="0.89"/>
    <n v="0.85"/>
    <n v="0.87"/>
    <x v="3"/>
    <x v="1"/>
    <n v="9"/>
  </r>
  <r>
    <d v="2023-07-23T00:00:00"/>
    <x v="8"/>
    <n v="2023"/>
    <x v="2"/>
    <x v="15"/>
    <n v="5214.2857142857101"/>
    <n v="6714.2857142857101"/>
    <n v="100"/>
    <n v="0.89"/>
    <n v="0.8"/>
    <n v="0.88"/>
    <x v="0"/>
    <x v="2"/>
    <n v="5"/>
  </r>
  <r>
    <d v="2023-07-20T00:00:00"/>
    <x v="8"/>
    <n v="2023"/>
    <x v="0"/>
    <x v="16"/>
    <n v="1214.2857142857099"/>
    <n v="6714.2857142857101"/>
    <n v="100"/>
    <n v="0.98"/>
    <n v="0.99"/>
    <n v="0.81"/>
    <x v="2"/>
    <x v="0"/>
    <n v="6"/>
  </r>
  <r>
    <d v="2023-07-22T00:00:00"/>
    <x v="8"/>
    <n v="2023"/>
    <x v="1"/>
    <x v="11"/>
    <n v="5214.2857142857101"/>
    <n v="6714.2857142857101"/>
    <n v="100"/>
    <n v="0.81"/>
    <n v="0.91"/>
    <n v="0.95"/>
    <x v="3"/>
    <x v="4"/>
    <n v="8"/>
  </r>
  <r>
    <d v="2023-04-02T00:00:00"/>
    <x v="5"/>
    <n v="2023"/>
    <x v="0"/>
    <x v="7"/>
    <n v="5214.2857142857101"/>
    <n v="6714.2857142857101"/>
    <n v="100"/>
    <n v="0.97"/>
    <n v="0.85"/>
    <n v="0.85"/>
    <x v="0"/>
    <x v="0"/>
    <n v="4"/>
  </r>
  <r>
    <d v="2023-02-22T00:00:00"/>
    <x v="1"/>
    <n v="2023"/>
    <x v="0"/>
    <x v="7"/>
    <n v="5214.2857142857101"/>
    <n v="6714.2857142857101"/>
    <n v="100"/>
    <n v="0.89"/>
    <n v="0.94"/>
    <n v="0.8"/>
    <x v="1"/>
    <x v="0"/>
    <n v="3"/>
  </r>
  <r>
    <d v="2023-09-10T00:00:00"/>
    <x v="9"/>
    <n v="2023"/>
    <x v="0"/>
    <x v="7"/>
    <n v="5214.2857142857101"/>
    <n v="6714.2857142857101"/>
    <n v="100"/>
    <n v="0.88"/>
    <n v="0.94"/>
    <n v="0.7"/>
    <x v="2"/>
    <x v="2"/>
    <n v="2"/>
  </r>
  <r>
    <d v="2023-12-15T00:00:00"/>
    <x v="10"/>
    <n v="2023"/>
    <x v="0"/>
    <x v="7"/>
    <n v="2957.1428571428601"/>
    <n v="2857.1428571428573"/>
    <n v="90"/>
    <n v="0.75"/>
    <n v="0.77"/>
    <n v="0.84"/>
    <x v="3"/>
    <x v="3"/>
    <n v="7"/>
  </r>
  <r>
    <d v="2023-03-12T00:00:00"/>
    <x v="4"/>
    <n v="2023"/>
    <x v="0"/>
    <x v="17"/>
    <n v="2957.1428571428601"/>
    <n v="2857.1428571428573"/>
    <n v="80"/>
    <n v="0.73"/>
    <n v="0.96"/>
    <n v="0.93"/>
    <x v="3"/>
    <x v="4"/>
    <n v="4"/>
  </r>
  <r>
    <d v="2023-09-10T00:00:00"/>
    <x v="9"/>
    <n v="2023"/>
    <x v="0"/>
    <x v="18"/>
    <n v="2957.1428571428601"/>
    <n v="2857.1428571428573"/>
    <n v="90"/>
    <n v="0.93"/>
    <n v="0.74"/>
    <n v="0.93"/>
    <x v="2"/>
    <x v="0"/>
    <n v="5"/>
  </r>
  <r>
    <d v="2023-01-02T00:00:00"/>
    <x v="11"/>
    <n v="2023"/>
    <x v="1"/>
    <x v="14"/>
    <n v="2957.1428571428601"/>
    <n v="2857.1428571428573"/>
    <n v="110"/>
    <n v="0.85"/>
    <n v="0.7"/>
    <n v="0.99"/>
    <x v="3"/>
    <x v="1"/>
    <n v="6"/>
  </r>
  <r>
    <d v="2023-10-28T00:00:00"/>
    <x v="2"/>
    <n v="2023"/>
    <x v="2"/>
    <x v="19"/>
    <n v="2957.1428571428601"/>
    <n v="2857.1428571428573"/>
    <n v="90"/>
    <n v="0.92"/>
    <n v="0.99"/>
    <n v="0.88"/>
    <x v="0"/>
    <x v="2"/>
    <n v="8"/>
  </r>
  <r>
    <d v="2023-06-26T00:00:00"/>
    <x v="7"/>
    <n v="2023"/>
    <x v="2"/>
    <x v="20"/>
    <n v="2957.1428571428601"/>
    <n v="2857.1428571428573"/>
    <n v="100"/>
    <n v="0.75"/>
    <n v="0.97"/>
    <n v="0.83"/>
    <x v="1"/>
    <x v="3"/>
    <n v="4"/>
  </r>
  <r>
    <d v="2023-11-13T00:00:00"/>
    <x v="3"/>
    <n v="2023"/>
    <x v="2"/>
    <x v="21"/>
    <n v="2957.1428571428601"/>
    <n v="2857.1428571428573"/>
    <n v="90"/>
    <n v="0.77"/>
    <n v="0.97"/>
    <n v="0.78"/>
    <x v="0"/>
    <x v="4"/>
    <n v="3"/>
  </r>
  <r>
    <d v="2023-06-30T00:00:00"/>
    <x v="7"/>
    <n v="2023"/>
    <x v="2"/>
    <x v="22"/>
    <n v="757.142857142857"/>
    <n v="857.14285714285711"/>
    <n v="228"/>
    <n v="0.79"/>
    <n v="0.75"/>
    <n v="0.93"/>
    <x v="1"/>
    <x v="0"/>
    <n v="2"/>
  </r>
  <r>
    <d v="2023-04-14T00:00:00"/>
    <x v="5"/>
    <n v="2023"/>
    <x v="1"/>
    <x v="23"/>
    <n v="757.142857142857"/>
    <n v="857.14285714285711"/>
    <n v="220"/>
    <n v="0.81"/>
    <n v="0.98"/>
    <n v="0.86"/>
    <x v="2"/>
    <x v="1"/>
    <n v="7"/>
  </r>
  <r>
    <d v="2023-12-06T00:00:00"/>
    <x v="10"/>
    <n v="2023"/>
    <x v="3"/>
    <x v="23"/>
    <n v="757.142857142857"/>
    <n v="857.14285714285711"/>
    <n v="228"/>
    <n v="0.86"/>
    <n v="0.82"/>
    <n v="0.86"/>
    <x v="3"/>
    <x v="2"/>
    <n v="9"/>
  </r>
  <r>
    <d v="2023-05-08T00:00:00"/>
    <x v="0"/>
    <n v="2023"/>
    <x v="0"/>
    <x v="24"/>
    <n v="757.142857142857"/>
    <n v="857.14285714285711"/>
    <n v="238"/>
    <n v="0.72"/>
    <n v="0.95"/>
    <n v="0.9"/>
    <x v="4"/>
    <x v="3"/>
    <n v="5"/>
  </r>
  <r>
    <d v="2023-04-03T00:00:00"/>
    <x v="5"/>
    <n v="2023"/>
    <x v="2"/>
    <x v="20"/>
    <n v="757.142857142857"/>
    <n v="857.14285714285711"/>
    <n v="228"/>
    <n v="0.71"/>
    <n v="0.8"/>
    <n v="0.76"/>
    <x v="4"/>
    <x v="4"/>
    <n v="5"/>
  </r>
  <r>
    <d v="2023-06-01T00:00:00"/>
    <x v="7"/>
    <n v="2023"/>
    <x v="2"/>
    <x v="19"/>
    <n v="757.142857142857"/>
    <n v="857.14285714285711"/>
    <n v="230"/>
    <n v="0.97"/>
    <n v="0.95"/>
    <n v="0.85"/>
    <x v="4"/>
    <x v="0"/>
    <n v="8"/>
  </r>
  <r>
    <d v="2023-11-03T00:00:00"/>
    <x v="3"/>
    <n v="2023"/>
    <x v="3"/>
    <x v="22"/>
    <n v="757.142857142857"/>
    <n v="857.14285714285711"/>
    <n v="228"/>
    <n v="0.95"/>
    <n v="0.85"/>
    <n v="0.91"/>
    <x v="2"/>
    <x v="1"/>
    <n v="4"/>
  </r>
  <r>
    <d v="2023-05-14T00:00:00"/>
    <x v="0"/>
    <n v="2023"/>
    <x v="0"/>
    <x v="19"/>
    <n v="914.28571428571399"/>
    <n v="714.28571428571433"/>
    <n v="250"/>
    <n v="0.97"/>
    <n v="0.7"/>
    <n v="0.93"/>
    <x v="2"/>
    <x v="2"/>
    <n v="3"/>
  </r>
  <r>
    <d v="2023-10-26T00:00:00"/>
    <x v="2"/>
    <n v="2023"/>
    <x v="2"/>
    <x v="22"/>
    <n v="914.28571428571399"/>
    <n v="714.28571428571433"/>
    <n v="240"/>
    <n v="0.9"/>
    <n v="0.98"/>
    <n v="0.96"/>
    <x v="2"/>
    <x v="3"/>
    <n v="2"/>
  </r>
  <r>
    <d v="2023-10-27T00:00:00"/>
    <x v="2"/>
    <n v="2023"/>
    <x v="0"/>
    <x v="19"/>
    <n v="914.28571428571399"/>
    <n v="714.28571428571433"/>
    <n v="270"/>
    <n v="0.9"/>
    <n v="0.95"/>
    <n v="0.98"/>
    <x v="2"/>
    <x v="4"/>
    <n v="3"/>
  </r>
  <r>
    <d v="2023-01-28T00:00:00"/>
    <x v="11"/>
    <n v="2023"/>
    <x v="1"/>
    <x v="7"/>
    <n v="914.28571428571399"/>
    <n v="714.28571428571433"/>
    <n v="259"/>
    <n v="0.96"/>
    <n v="0.81"/>
    <n v="0.85"/>
    <x v="2"/>
    <x v="0"/>
    <n v="9"/>
  </r>
  <r>
    <d v="2023-01-29T00:00:00"/>
    <x v="11"/>
    <n v="2023"/>
    <x v="1"/>
    <x v="19"/>
    <n v="914.28571428571399"/>
    <n v="714.28571428571433"/>
    <n v="260"/>
    <n v="0.98"/>
    <n v="0.84"/>
    <n v="0.89"/>
    <x v="2"/>
    <x v="0"/>
    <n v="5"/>
  </r>
  <r>
    <d v="2023-01-30T00:00:00"/>
    <x v="11"/>
    <n v="2023"/>
    <x v="1"/>
    <x v="19"/>
    <n v="914.28571428571399"/>
    <n v="714.28571428571433"/>
    <n v="260"/>
    <n v="0.76"/>
    <n v="0.7"/>
    <n v="0.86"/>
    <x v="2"/>
    <x v="2"/>
    <n v="6"/>
  </r>
  <r>
    <d v="2023-01-31T00:00:00"/>
    <x v="11"/>
    <n v="2023"/>
    <x v="0"/>
    <x v="19"/>
    <n v="914.28571428571399"/>
    <n v="714.28571428571433"/>
    <n v="261"/>
    <n v="0.91"/>
    <n v="0.77"/>
    <n v="0.75"/>
    <x v="0"/>
    <x v="3"/>
    <n v="8"/>
  </r>
  <r>
    <d v="2023-11-01T00:00:00"/>
    <x v="3"/>
    <n v="2023"/>
    <x v="0"/>
    <x v="19"/>
    <n v="914.28571428571399"/>
    <n v="714.28571428571433"/>
    <n v="242"/>
    <n v="0.79"/>
    <n v="0.81"/>
    <n v="0.74"/>
    <x v="1"/>
    <x v="4"/>
    <n v="4"/>
  </r>
  <r>
    <d v="2023-11-02T00:00:00"/>
    <x v="3"/>
    <n v="2023"/>
    <x v="0"/>
    <x v="25"/>
    <n v="914.28571428571399"/>
    <n v="714.28571428571433"/>
    <n v="250"/>
    <n v="0.85"/>
    <n v="0.82"/>
    <n v="0.73"/>
    <x v="2"/>
    <x v="0"/>
    <n v="3"/>
  </r>
  <r>
    <d v="2023-11-03T00:00:00"/>
    <x v="3"/>
    <n v="2023"/>
    <x v="0"/>
    <x v="19"/>
    <n v="914.28571428571399"/>
    <n v="714.28571428571433"/>
    <n v="242"/>
    <n v="0.88"/>
    <n v="0.84"/>
    <n v="0.75"/>
    <x v="3"/>
    <x v="1"/>
    <n v="2"/>
  </r>
  <r>
    <d v="2023-05-14T00:00:00"/>
    <x v="0"/>
    <n v="2023"/>
    <x v="0"/>
    <x v="19"/>
    <n v="914.28571428571399"/>
    <n v="714.28571428571433"/>
    <n v="242"/>
    <n v="0.81"/>
    <n v="0.92"/>
    <n v="0.91"/>
    <x v="0"/>
    <x v="2"/>
    <n v="7"/>
  </r>
  <r>
    <d v="2023-10-26T00:00:00"/>
    <x v="2"/>
    <n v="2023"/>
    <x v="2"/>
    <x v="19"/>
    <n v="914.28571428571399"/>
    <n v="714.28571428571433"/>
    <n v="242"/>
    <n v="0.84"/>
    <n v="0.73"/>
    <n v="0.99"/>
    <x v="1"/>
    <x v="3"/>
    <n v="9"/>
  </r>
  <r>
    <d v="2023-03-10T00:00:00"/>
    <x v="4"/>
    <n v="2023"/>
    <x v="2"/>
    <x v="19"/>
    <n v="914.28571428571399"/>
    <n v="714.28571428571433"/>
    <n v="240"/>
    <n v="0.93"/>
    <n v="0.79"/>
    <n v="0.72"/>
    <x v="2"/>
    <x v="4"/>
    <n v="5"/>
  </r>
  <r>
    <d v="2023-04-28T00:00:00"/>
    <x v="5"/>
    <n v="2023"/>
    <x v="2"/>
    <x v="19"/>
    <n v="914.28571428571399"/>
    <n v="714.28571428571433"/>
    <n v="242"/>
    <n v="0.84"/>
    <n v="0.79"/>
    <n v="0.8"/>
    <x v="3"/>
    <x v="0"/>
    <n v="6"/>
  </r>
  <r>
    <d v="2023-01-19T00:00:00"/>
    <x v="11"/>
    <n v="2023"/>
    <x v="2"/>
    <x v="22"/>
    <n v="385.71428571428601"/>
    <n v="285.71428571428572"/>
    <n v="285"/>
    <n v="0.85"/>
    <n v="0.91"/>
    <n v="0.84"/>
    <x v="0"/>
    <x v="1"/>
    <n v="8"/>
  </r>
  <r>
    <d v="2023-08-22T00:00:00"/>
    <x v="6"/>
    <n v="2023"/>
    <x v="1"/>
    <x v="21"/>
    <n v="385.71428571428601"/>
    <n v="285.71428571428572"/>
    <n v="275"/>
    <n v="0.86"/>
    <n v="0.75"/>
    <n v="0.96"/>
    <x v="2"/>
    <x v="2"/>
    <n v="4"/>
  </r>
  <r>
    <d v="2023-08-09T00:00:00"/>
    <x v="6"/>
    <n v="2023"/>
    <x v="3"/>
    <x v="26"/>
    <n v="385.71428571428601"/>
    <n v="285.71428571428572"/>
    <n v="285"/>
    <n v="0.96"/>
    <n v="0.77"/>
    <n v="0.92"/>
    <x v="3"/>
    <x v="3"/>
    <n v="3"/>
  </r>
  <r>
    <d v="2023-06-01T00:00:00"/>
    <x v="7"/>
    <n v="2023"/>
    <x v="2"/>
    <x v="27"/>
    <n v="385.71428571428601"/>
    <n v="285.71428571428572"/>
    <n v="290"/>
    <n v="0.99"/>
    <n v="0.97"/>
    <n v="0.73"/>
    <x v="0"/>
    <x v="4"/>
    <n v="2"/>
  </r>
  <r>
    <d v="2023-03-01T00:00:00"/>
    <x v="4"/>
    <n v="2023"/>
    <x v="1"/>
    <x v="19"/>
    <n v="385.71428571428601"/>
    <n v="285.71428571428572"/>
    <n v="310"/>
    <n v="0.77"/>
    <n v="0.72"/>
    <n v="0.85"/>
    <x v="1"/>
    <x v="0"/>
    <n v="7"/>
  </r>
  <r>
    <d v="2023-11-27T00:00:00"/>
    <x v="3"/>
    <n v="2023"/>
    <x v="3"/>
    <x v="27"/>
    <n v="385.71428571428601"/>
    <n v="285.71428571428572"/>
    <n v="270"/>
    <n v="0.77"/>
    <n v="0.96"/>
    <n v="0.78"/>
    <x v="2"/>
    <x v="1"/>
    <n v="9"/>
  </r>
  <r>
    <d v="2023-10-14T00:00:00"/>
    <x v="2"/>
    <n v="2023"/>
    <x v="2"/>
    <x v="26"/>
    <n v="385.71428571428601"/>
    <n v="285.71428571428572"/>
    <n v="285"/>
    <n v="0.78"/>
    <n v="0.8"/>
    <n v="0.85"/>
    <x v="3"/>
    <x v="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FE5065-A5D5-4B99-8E54-ED5A7F5DCFE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M5:N17" firstHeaderRow="1" firstDataRow="1" firstDataCol="1"/>
  <pivotFields count="14">
    <pivotField numFmtId="14" showAll="0"/>
    <pivotField axis="axisRow" showAll="0">
      <items count="13">
        <item x="11"/>
        <item x="1"/>
        <item x="4"/>
        <item x="5"/>
        <item x="0"/>
        <item x="7"/>
        <item x="8"/>
        <item x="6"/>
        <item x="9"/>
        <item x="2"/>
        <item x="3"/>
        <item x="10"/>
        <item t="default"/>
      </items>
    </pivotField>
    <pivotField showAll="0"/>
    <pivotField showAll="0">
      <items count="5">
        <item x="0"/>
        <item x="3"/>
        <item x="2"/>
        <item x="1"/>
        <item t="default"/>
      </items>
    </pivotField>
    <pivotField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numFmtId="1" showAll="0"/>
    <pivotField numFmtId="1" showAll="0"/>
    <pivotField dataField="1" showAll="0"/>
    <pivotField showAll="0"/>
    <pivotField showAll="0"/>
    <pivotField showAll="0"/>
    <pivotField showAll="0">
      <items count="6">
        <item x="0"/>
        <item x="2"/>
        <item x="1"/>
        <item x="3"/>
        <item x="4"/>
        <item t="default"/>
      </items>
    </pivotField>
    <pivotField showAll="0">
      <items count="6">
        <item x="4"/>
        <item x="2"/>
        <item x="1"/>
        <item x="3"/>
        <item x="0"/>
        <item t="default"/>
      </items>
    </pivotField>
    <pivotField showAll="0"/>
  </pivotFields>
  <rowFields count="1">
    <field x="1"/>
  </rowFields>
  <rowItems count="12">
    <i>
      <x/>
    </i>
    <i>
      <x v="1"/>
    </i>
    <i>
      <x v="2"/>
    </i>
    <i>
      <x v="3"/>
    </i>
    <i>
      <x v="4"/>
    </i>
    <i>
      <x v="5"/>
    </i>
    <i>
      <x v="6"/>
    </i>
    <i>
      <x v="7"/>
    </i>
    <i>
      <x v="8"/>
    </i>
    <i>
      <x v="9"/>
    </i>
    <i>
      <x v="10"/>
    </i>
    <i>
      <x v="11"/>
    </i>
  </rowItems>
  <colItems count="1">
    <i/>
  </colItems>
  <dataFields count="1">
    <dataField name="Sum of No of Customers" fld="7" baseField="0" baseItem="0" numFmtId="1"/>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CDE9BB-9541-4189-B700-2DF465A6451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I5:K17" firstHeaderRow="0" firstDataRow="1" firstDataCol="1"/>
  <pivotFields count="14">
    <pivotField numFmtId="14" showAll="0"/>
    <pivotField axis="axisRow" showAll="0">
      <items count="13">
        <item x="11"/>
        <item x="1"/>
        <item x="4"/>
        <item x="5"/>
        <item x="0"/>
        <item x="7"/>
        <item x="8"/>
        <item x="6"/>
        <item x="9"/>
        <item x="2"/>
        <item x="3"/>
        <item x="10"/>
        <item t="default"/>
      </items>
    </pivotField>
    <pivotField showAll="0"/>
    <pivotField showAll="0">
      <items count="5">
        <item x="0"/>
        <item x="3"/>
        <item x="2"/>
        <item x="1"/>
        <item t="default"/>
      </items>
    </pivotField>
    <pivotField dataField="1"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numFmtId="1" showAll="0"/>
    <pivotField dataField="1" numFmtId="1" showAll="0"/>
    <pivotField showAll="0"/>
    <pivotField showAll="0"/>
    <pivotField showAll="0"/>
    <pivotField showAll="0"/>
    <pivotField showAll="0">
      <items count="6">
        <item x="0"/>
        <item x="2"/>
        <item x="1"/>
        <item x="3"/>
        <item x="4"/>
        <item t="default"/>
      </items>
    </pivotField>
    <pivotField showAll="0">
      <items count="6">
        <item x="4"/>
        <item x="2"/>
        <item x="1"/>
        <item x="3"/>
        <item x="0"/>
        <item t="default"/>
      </items>
    </pivotField>
    <pivotField showAll="0"/>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name="Sum of Sales" fld="4" baseField="0" baseItem="0"/>
    <dataField name="Sum of Target Sales" fld="6" baseField="0" baseItem="0"/>
  </dataFields>
  <formats count="1">
    <format dxfId="1">
      <pivotArea outline="0" collapsedLevelsAreSubtotals="1" fieldPosition="0"/>
    </format>
  </formats>
  <chartFormats count="3">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0019B2-17F6-429C-BF10-C75367DA0D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14">
    <pivotField numFmtId="14" showAll="0"/>
    <pivotField showAll="0">
      <items count="13">
        <item x="11"/>
        <item x="1"/>
        <item x="4"/>
        <item x="5"/>
        <item x="0"/>
        <item x="7"/>
        <item x="8"/>
        <item x="6"/>
        <item x="9"/>
        <item x="2"/>
        <item x="3"/>
        <item x="10"/>
        <item t="default"/>
      </items>
    </pivotField>
    <pivotField showAll="0"/>
    <pivotField showAll="0">
      <items count="5">
        <item x="0"/>
        <item x="3"/>
        <item x="2"/>
        <item x="1"/>
        <item t="default"/>
      </items>
    </pivotField>
    <pivotField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dataField="1" numFmtId="1" showAll="0"/>
    <pivotField numFmtId="1" showAll="0"/>
    <pivotField showAll="0"/>
    <pivotField showAll="0"/>
    <pivotField showAll="0"/>
    <pivotField showAll="0"/>
    <pivotField showAll="0">
      <items count="6">
        <item x="0"/>
        <item x="2"/>
        <item x="1"/>
        <item x="3"/>
        <item x="4"/>
        <item t="default"/>
      </items>
    </pivotField>
    <pivotField showAll="0">
      <items count="6">
        <item x="4"/>
        <item x="2"/>
        <item x="1"/>
        <item x="3"/>
        <item x="0"/>
        <item t="default"/>
      </items>
    </pivotField>
    <pivotField showAll="0"/>
  </pivotFields>
  <rowItems count="1">
    <i/>
  </rowItems>
  <colItems count="1">
    <i/>
  </colItems>
  <dataFields count="1">
    <dataField name="Sum of Profit" fld="5"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2E8EA0-3BB5-4A81-BF65-0DAF4D871F4A}"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B11" firstHeaderRow="1" firstDataRow="1" firstDataCol="1"/>
  <pivotFields count="14">
    <pivotField numFmtId="14" showAll="0"/>
    <pivotField showAll="0">
      <items count="13">
        <item x="11"/>
        <item x="1"/>
        <item x="4"/>
        <item x="5"/>
        <item x="0"/>
        <item x="7"/>
        <item x="8"/>
        <item x="6"/>
        <item x="9"/>
        <item x="2"/>
        <item x="3"/>
        <item x="10"/>
        <item t="default"/>
      </items>
    </pivotField>
    <pivotField showAll="0"/>
    <pivotField showAll="0">
      <items count="5">
        <item x="0"/>
        <item x="3"/>
        <item x="2"/>
        <item x="1"/>
        <item t="default"/>
      </items>
    </pivotField>
    <pivotField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numFmtId="1" showAll="0"/>
    <pivotField numFmtId="1" showAll="0"/>
    <pivotField showAll="0"/>
    <pivotField dataField="1" showAll="0"/>
    <pivotField dataField="1" showAll="0"/>
    <pivotField dataField="1" showAll="0"/>
    <pivotField showAll="0">
      <items count="6">
        <item x="0"/>
        <item x="2"/>
        <item x="1"/>
        <item x="3"/>
        <item x="4"/>
        <item t="default"/>
      </items>
    </pivotField>
    <pivotField showAll="0">
      <items count="6">
        <item x="4"/>
        <item x="2"/>
        <item x="1"/>
        <item x="3"/>
        <item x="0"/>
        <item t="default"/>
      </items>
    </pivotField>
    <pivotField showAll="0"/>
  </pivotFields>
  <rowFields count="1">
    <field x="-2"/>
  </rowFields>
  <rowItems count="3">
    <i>
      <x/>
    </i>
    <i i="1">
      <x v="1"/>
    </i>
    <i i="2">
      <x v="2"/>
    </i>
  </rowItems>
  <colItems count="1">
    <i/>
  </colItems>
  <dataFields count="3">
    <dataField name="Average of Sales Completion Rate" fld="8" subtotal="average" baseField="0" baseItem="0"/>
    <dataField name="Average of Profit Completion Rate" fld="9" subtotal="average" baseField="0" baseItem="0"/>
    <dataField name="Average of Customer Completion Rate" fld="10" subtotal="average" baseField="0" baseItem="0"/>
  </dataFields>
  <formats count="2">
    <format dxfId="4">
      <pivotArea collapsedLevelsAreSubtotals="1" fieldPosition="0">
        <references count="1">
          <reference field="4294967294" count="1">
            <x v="0"/>
          </reference>
        </references>
      </pivotArea>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EC71DD-4A68-4E11-B777-F56EB43F74CB}"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V5:W10" firstHeaderRow="1" firstDataRow="1" firstDataCol="1"/>
  <pivotFields count="14">
    <pivotField numFmtId="14" showAll="0"/>
    <pivotField showAll="0">
      <items count="13">
        <item x="11"/>
        <item x="1"/>
        <item x="4"/>
        <item x="5"/>
        <item x="0"/>
        <item x="7"/>
        <item x="8"/>
        <item x="6"/>
        <item x="9"/>
        <item x="2"/>
        <item x="3"/>
        <item x="10"/>
        <item t="default"/>
      </items>
    </pivotField>
    <pivotField showAll="0"/>
    <pivotField showAll="0">
      <items count="5">
        <item x="0"/>
        <item x="3"/>
        <item x="2"/>
        <item x="1"/>
        <item t="default"/>
      </items>
    </pivotField>
    <pivotField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numFmtId="1" showAll="0"/>
    <pivotField numFmtId="1" showAll="0"/>
    <pivotField showAll="0"/>
    <pivotField showAll="0"/>
    <pivotField showAll="0"/>
    <pivotField showAll="0"/>
    <pivotField showAll="0">
      <items count="6">
        <item x="0"/>
        <item x="2"/>
        <item x="1"/>
        <item x="3"/>
        <item x="4"/>
        <item t="default"/>
      </items>
    </pivotField>
    <pivotField axis="axisRow" showAll="0">
      <items count="6">
        <item x="4"/>
        <item x="2"/>
        <item x="1"/>
        <item x="3"/>
        <item x="0"/>
        <item t="default"/>
      </items>
    </pivotField>
    <pivotField dataField="1" showAll="0"/>
  </pivotFields>
  <rowFields count="1">
    <field x="12"/>
  </rowFields>
  <rowItems count="5">
    <i>
      <x/>
    </i>
    <i>
      <x v="1"/>
    </i>
    <i>
      <x v="2"/>
    </i>
    <i>
      <x v="3"/>
    </i>
    <i>
      <x v="4"/>
    </i>
  </rowItems>
  <colItems count="1">
    <i/>
  </colItems>
  <dataFields count="1">
    <dataField name="Sum of Score" fld="13" baseField="0" baseItem="0"/>
  </dataFields>
  <formats count="2">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B0AE05-B964-4958-9D44-30F0D43BD2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4">
    <pivotField numFmtId="14" showAll="0"/>
    <pivotField showAll="0">
      <items count="13">
        <item x="11"/>
        <item x="1"/>
        <item x="4"/>
        <item x="5"/>
        <item x="0"/>
        <item x="7"/>
        <item x="8"/>
        <item x="6"/>
        <item x="9"/>
        <item x="2"/>
        <item x="3"/>
        <item x="10"/>
        <item t="default"/>
      </items>
    </pivotField>
    <pivotField showAll="0"/>
    <pivotField showAll="0">
      <items count="5">
        <item x="0"/>
        <item x="3"/>
        <item x="2"/>
        <item x="1"/>
        <item t="default"/>
      </items>
    </pivotField>
    <pivotField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numFmtId="1" showAll="0"/>
    <pivotField dataField="1" numFmtId="1" showAll="0"/>
    <pivotField showAll="0"/>
    <pivotField showAll="0"/>
    <pivotField showAll="0"/>
    <pivotField showAll="0"/>
    <pivotField showAll="0">
      <items count="6">
        <item x="0"/>
        <item x="2"/>
        <item x="1"/>
        <item x="3"/>
        <item x="4"/>
        <item t="default"/>
      </items>
    </pivotField>
    <pivotField showAll="0">
      <items count="6">
        <item x="4"/>
        <item x="2"/>
        <item x="1"/>
        <item x="3"/>
        <item x="0"/>
        <item t="default"/>
      </items>
    </pivotField>
    <pivotField showAll="0"/>
  </pivotFields>
  <rowItems count="1">
    <i/>
  </rowItems>
  <colItems count="1">
    <i/>
  </colItems>
  <dataFields count="1">
    <dataField name="Sum of Target Sales" fld="6"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327CAE-CB4C-4A04-BE73-74E8CEE4B96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P5:Q10" firstHeaderRow="1" firstDataRow="1" firstDataCol="1"/>
  <pivotFields count="14">
    <pivotField numFmtId="14" showAll="0"/>
    <pivotField showAll="0">
      <items count="13">
        <item x="11"/>
        <item x="1"/>
        <item x="4"/>
        <item x="5"/>
        <item x="0"/>
        <item x="7"/>
        <item x="8"/>
        <item x="6"/>
        <item x="9"/>
        <item x="2"/>
        <item x="3"/>
        <item x="10"/>
        <item t="default"/>
      </items>
    </pivotField>
    <pivotField showAll="0"/>
    <pivotField showAll="0">
      <items count="5">
        <item x="0"/>
        <item x="3"/>
        <item x="2"/>
        <item x="1"/>
        <item t="default"/>
      </items>
    </pivotField>
    <pivotField dataField="1"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numFmtId="1" showAll="0"/>
    <pivotField numFmtId="1" showAll="0"/>
    <pivotField showAll="0"/>
    <pivotField showAll="0"/>
    <pivotField showAll="0"/>
    <pivotField showAll="0"/>
    <pivotField axis="axisRow" showAll="0">
      <items count="6">
        <item x="0"/>
        <item x="2"/>
        <item x="1"/>
        <item x="3"/>
        <item x="4"/>
        <item t="default"/>
      </items>
    </pivotField>
    <pivotField showAll="0">
      <items count="6">
        <item x="4"/>
        <item x="2"/>
        <item x="1"/>
        <item x="3"/>
        <item x="0"/>
        <item t="default"/>
      </items>
    </pivotField>
    <pivotField showAll="0"/>
  </pivotFields>
  <rowFields count="1">
    <field x="11"/>
  </rowFields>
  <rowItems count="5">
    <i>
      <x/>
    </i>
    <i>
      <x v="1"/>
    </i>
    <i>
      <x v="2"/>
    </i>
    <i>
      <x v="3"/>
    </i>
    <i>
      <x v="4"/>
    </i>
  </rowItems>
  <colItems count="1">
    <i/>
  </colItems>
  <dataFields count="1">
    <dataField name="Sum of Sales" fld="4" baseField="0" baseItem="0"/>
  </dataFields>
  <formats count="1">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8EE9BC-A0E0-4E6C-993D-D015B455392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S5:T9" firstHeaderRow="1" firstDataRow="1" firstDataCol="1"/>
  <pivotFields count="14">
    <pivotField numFmtId="14" showAll="0"/>
    <pivotField showAll="0">
      <items count="13">
        <item x="11"/>
        <item x="1"/>
        <item x="4"/>
        <item x="5"/>
        <item x="0"/>
        <item x="7"/>
        <item x="8"/>
        <item x="6"/>
        <item x="9"/>
        <item x="2"/>
        <item x="3"/>
        <item x="10"/>
        <item t="default"/>
      </items>
    </pivotField>
    <pivotField showAll="0"/>
    <pivotField axis="axisRow" showAll="0">
      <items count="5">
        <item x="0"/>
        <item x="3"/>
        <item x="2"/>
        <item x="1"/>
        <item t="default"/>
      </items>
    </pivotField>
    <pivotField dataField="1"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numFmtId="1" showAll="0"/>
    <pivotField numFmtId="1" showAll="0"/>
    <pivotField showAll="0"/>
    <pivotField showAll="0"/>
    <pivotField showAll="0"/>
    <pivotField showAll="0"/>
    <pivotField showAll="0">
      <items count="6">
        <item x="0"/>
        <item x="2"/>
        <item x="1"/>
        <item x="3"/>
        <item x="4"/>
        <item t="default"/>
      </items>
    </pivotField>
    <pivotField showAll="0">
      <items count="6">
        <item x="4"/>
        <item x="2"/>
        <item x="1"/>
        <item x="3"/>
        <item x="0"/>
        <item t="default"/>
      </items>
    </pivotField>
    <pivotField showAll="0"/>
  </pivotFields>
  <rowFields count="1">
    <field x="3"/>
  </rowFields>
  <rowItems count="4">
    <i>
      <x/>
    </i>
    <i>
      <x v="1"/>
    </i>
    <i>
      <x v="2"/>
    </i>
    <i>
      <x v="3"/>
    </i>
  </rowItems>
  <colItems count="1">
    <i/>
  </colItems>
  <dataFields count="1">
    <dataField name="Sum of Sales" fld="4" baseField="0" baseItem="0" numFmtId="166"/>
  </dataFields>
  <formats count="1">
    <format dxfId="9">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8DE769-D131-41DE-9221-0FAECD35F4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4">
    <pivotField numFmtId="14" showAll="0"/>
    <pivotField showAll="0">
      <items count="13">
        <item x="11"/>
        <item x="1"/>
        <item x="4"/>
        <item x="5"/>
        <item x="0"/>
        <item x="7"/>
        <item x="8"/>
        <item x="6"/>
        <item x="9"/>
        <item x="2"/>
        <item x="3"/>
        <item x="10"/>
        <item t="default"/>
      </items>
    </pivotField>
    <pivotField showAll="0"/>
    <pivotField showAll="0">
      <items count="5">
        <item x="0"/>
        <item x="3"/>
        <item x="2"/>
        <item x="1"/>
        <item t="default"/>
      </items>
    </pivotField>
    <pivotField dataField="1"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numFmtId="1" showAll="0"/>
    <pivotField numFmtId="1" showAll="0"/>
    <pivotField showAll="0"/>
    <pivotField showAll="0"/>
    <pivotField showAll="0"/>
    <pivotField showAll="0"/>
    <pivotField showAll="0">
      <items count="6">
        <item x="0"/>
        <item x="2"/>
        <item x="1"/>
        <item x="3"/>
        <item x="4"/>
        <item t="default"/>
      </items>
    </pivotField>
    <pivotField showAll="0">
      <items count="6">
        <item x="4"/>
        <item x="2"/>
        <item x="1"/>
        <item x="3"/>
        <item x="0"/>
        <item t="default"/>
      </items>
    </pivotField>
    <pivotField showAll="0"/>
  </pivotFields>
  <rowItems count="1">
    <i/>
  </rowItems>
  <colItems count="1">
    <i/>
  </colItems>
  <dataFields count="1">
    <dataField name="Sum of Sales" fld="4"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629925-EA0C-4FA2-9124-4C26C1984E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14">
    <pivotField numFmtId="14" showAll="0"/>
    <pivotField showAll="0">
      <items count="13">
        <item x="11"/>
        <item x="1"/>
        <item x="4"/>
        <item x="5"/>
        <item x="0"/>
        <item x="7"/>
        <item x="8"/>
        <item x="6"/>
        <item x="9"/>
        <item x="2"/>
        <item x="3"/>
        <item x="10"/>
        <item t="default"/>
      </items>
    </pivotField>
    <pivotField showAll="0"/>
    <pivotField showAll="0">
      <items count="5">
        <item x="0"/>
        <item x="3"/>
        <item x="2"/>
        <item x="1"/>
        <item t="default"/>
      </items>
    </pivotField>
    <pivotField showAll="0">
      <items count="29">
        <item x="11"/>
        <item x="14"/>
        <item x="24"/>
        <item x="8"/>
        <item x="18"/>
        <item x="17"/>
        <item x="23"/>
        <item x="7"/>
        <item x="3"/>
        <item x="20"/>
        <item x="21"/>
        <item x="22"/>
        <item x="5"/>
        <item x="25"/>
        <item x="26"/>
        <item x="6"/>
        <item x="27"/>
        <item x="19"/>
        <item x="0"/>
        <item x="4"/>
        <item x="9"/>
        <item x="2"/>
        <item x="1"/>
        <item x="10"/>
        <item x="15"/>
        <item x="16"/>
        <item x="12"/>
        <item x="13"/>
        <item t="default"/>
      </items>
    </pivotField>
    <pivotField numFmtId="1" showAll="0"/>
    <pivotField numFmtId="1" showAll="0"/>
    <pivotField dataField="1" showAll="0"/>
    <pivotField showAll="0"/>
    <pivotField showAll="0"/>
    <pivotField showAll="0"/>
    <pivotField showAll="0">
      <items count="6">
        <item x="0"/>
        <item x="2"/>
        <item x="1"/>
        <item x="3"/>
        <item x="4"/>
        <item t="default"/>
      </items>
    </pivotField>
    <pivotField showAll="0">
      <items count="6">
        <item x="4"/>
        <item x="2"/>
        <item x="1"/>
        <item x="3"/>
        <item x="0"/>
        <item t="default"/>
      </items>
    </pivotField>
    <pivotField showAll="0"/>
  </pivotFields>
  <rowItems count="1">
    <i/>
  </rowItems>
  <colItems count="1">
    <i/>
  </colItems>
  <dataFields count="1">
    <dataField name="Sum of No of Customers" fld="7" baseField="0" baseItem="0" numFmtId="1"/>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44292B-5D21-4BBE-81C1-EDE04DE50807}" sourceName="Region">
  <pivotTables>
    <pivotTable tabId="2" name="PivotTable8"/>
    <pivotTable tabId="2" name="PivotTable1"/>
    <pivotTable tabId="2" name="PivotTable11"/>
    <pivotTable tabId="2" name="PivotTable12"/>
    <pivotTable tabId="2" name="PivotTable13"/>
    <pivotTable tabId="2" name="PivotTable2"/>
    <pivotTable tabId="2" name="PivotTable4"/>
    <pivotTable tabId="2" name="PivotTable5"/>
    <pivotTable tabId="2" name="PivotTable7"/>
    <pivotTable tabId="2" name="PivotTable9"/>
  </pivotTables>
  <data>
    <tabular pivotCacheId="351552078">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atisfaction" xr10:uid="{B597F433-96F4-480B-9970-636646979433}" sourceName="Customer Satisfaction">
  <pivotTables>
    <pivotTable tabId="2" name="PivotTable8"/>
    <pivotTable tabId="2" name="PivotTable1"/>
    <pivotTable tabId="2" name="PivotTable11"/>
    <pivotTable tabId="2" name="PivotTable12"/>
    <pivotTable tabId="2" name="PivotTable13"/>
    <pivotTable tabId="2" name="PivotTable2"/>
    <pivotTable tabId="2" name="PivotTable4"/>
    <pivotTable tabId="2" name="PivotTable5"/>
    <pivotTable tabId="2" name="PivotTable7"/>
    <pivotTable tabId="2" name="PivotTable9"/>
  </pivotTables>
  <data>
    <tabular pivotCacheId="351552078">
      <items count="5">
        <i x="4" s="1"/>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19EE467-E1D9-45A9-A9A0-CBBD01CCBADC}" sourceName="Month">
  <pivotTables>
    <pivotTable tabId="2" name="PivotTable8"/>
    <pivotTable tabId="2" name="PivotTable1"/>
    <pivotTable tabId="2" name="PivotTable11"/>
    <pivotTable tabId="2" name="PivotTable12"/>
    <pivotTable tabId="2" name="PivotTable13"/>
    <pivotTable tabId="2" name="PivotTable2"/>
    <pivotTable tabId="2" name="PivotTable4"/>
    <pivotTable tabId="2" name="PivotTable5"/>
    <pivotTable tabId="2" name="PivotTable7"/>
    <pivotTable tabId="2" name="PivotTable9"/>
  </pivotTables>
  <data>
    <tabular pivotCacheId="351552078">
      <items count="12">
        <i x="11" s="1"/>
        <i x="1" s="1"/>
        <i x="4" s="1"/>
        <i x="5" s="1"/>
        <i x="0" s="1"/>
        <i x="7" s="1"/>
        <i x="8" s="1"/>
        <i x="6" s="1"/>
        <i x="9" s="1"/>
        <i x="2" s="1"/>
        <i x="3"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BE42152-1F92-4FC6-A637-AB5950E3DB85}" sourceName="Country">
  <pivotTables>
    <pivotTable tabId="2" name="PivotTable8"/>
    <pivotTable tabId="2" name="PivotTable1"/>
    <pivotTable tabId="2" name="PivotTable11"/>
    <pivotTable tabId="2" name="PivotTable12"/>
    <pivotTable tabId="2" name="PivotTable13"/>
    <pivotTable tabId="2" name="PivotTable2"/>
    <pivotTable tabId="2" name="PivotTable4"/>
    <pivotTable tabId="2" name="PivotTable5"/>
    <pivotTable tabId="2" name="PivotTable7"/>
    <pivotTable tabId="2" name="PivotTable9"/>
  </pivotTables>
  <data>
    <tabular pivotCacheId="351552078">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F1B238E-4FD1-4B3E-8805-4506387BA19D}" cache="Slicer_Region" caption="Region" columnCount="2" style="SlicerStyleDark5" rowHeight="257175"/>
  <slicer name="Customer Satisfaction" xr10:uid="{F341EC0E-66BF-4170-9825-6EEC03307365}" cache="Slicer_Customer_Satisfaction" caption="Customer Satisfaction" style="SlicerStyleDark5" rowHeight="257175"/>
  <slicer name="Month" xr10:uid="{8DD1A2AF-EAF2-4555-A78B-78AA479CE228}" cache="Slicer_Month" caption="Month" columnCount="2" style="SlicerStyleDark5" rowHeight="257175"/>
  <slicer name="Country" xr10:uid="{36B2B7A8-3332-4E66-963F-85494D9F9531}" cache="Slicer_Country" caption="Country"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8721E6-8B6C-4C9F-8D9E-5AB7A2D7BA41}" name="Table1" displayName="Table1" ref="A1:N64" totalsRowShown="0">
  <autoFilter ref="A1:N64" xr:uid="{B08721E6-8B6C-4C9F-8D9E-5AB7A2D7BA41}"/>
  <tableColumns count="14">
    <tableColumn id="1" xr3:uid="{3BBABF82-7B21-4AF4-92F8-3A6B2A5D8A60}" name="Date" dataDxfId="16"/>
    <tableColumn id="13" xr3:uid="{957CFDEE-26E1-4188-8A6E-D59A9FA936E4}" name="Month" dataDxfId="15">
      <calculatedColumnFormula>TEXT(Table1[[#This Row],[Date]],"mmm")</calculatedColumnFormula>
    </tableColumn>
    <tableColumn id="14" xr3:uid="{99C4A5CE-88DE-4490-8E1E-9BA1FA5F61BE}" name="Year" dataDxfId="14">
      <calculatedColumnFormula>YEAR(Table1[[#This Row],[Date]])</calculatedColumnFormula>
    </tableColumn>
    <tableColumn id="2" xr3:uid="{0630FEC6-9FF2-49DD-997F-9F8E35C12683}" name="Region"/>
    <tableColumn id="3" xr3:uid="{2138A9C6-0126-49F4-B9F9-C1034C4B0ECC}" name="Sales"/>
    <tableColumn id="4" xr3:uid="{9B992DF2-1C10-47F9-ADC9-C379DB5195E1}" name="Profit" dataDxfId="13"/>
    <tableColumn id="5" xr3:uid="{43B2EDB9-92F2-4288-8C2C-49E9C7B73845}" name="Target Sales" dataDxfId="12"/>
    <tableColumn id="6" xr3:uid="{30EC52A2-E2EA-4FFE-963B-07A1678699EA}" name="No of Customers"/>
    <tableColumn id="7" xr3:uid="{CC5D57F6-7E03-4D9A-8A51-80768979F4E9}" name="Sales Completion Rate"/>
    <tableColumn id="8" xr3:uid="{EC676D64-A5BC-40CC-BBCA-3ABDFB392FFF}" name="Profit Completion Rate"/>
    <tableColumn id="9" xr3:uid="{1471E94A-051A-4FF4-AC79-024CC948B77C}" name="Customer Completion Rate"/>
    <tableColumn id="10" xr3:uid="{81740889-9021-4621-9AA4-FFBD13CB9163}" name="Country"/>
    <tableColumn id="11" xr3:uid="{B9E88647-428A-4A9D-9983-8C7CC13E8869}" name="Customer Satisfaction"/>
    <tableColumn id="12" xr3:uid="{D5FC9A03-BF34-4E18-B05C-0075881CF96A}" name="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0EBB-4236-4385-B112-7436EAEB5F65}">
  <sheetPr codeName="Sheet1"/>
  <dimension ref="A1:N64"/>
  <sheetViews>
    <sheetView topLeftCell="I1" workbookViewId="0">
      <selection activeCell="M1" sqref="M1"/>
    </sheetView>
  </sheetViews>
  <sheetFormatPr defaultRowHeight="15" x14ac:dyDescent="0.25"/>
  <cols>
    <col min="1" max="1" width="10.140625" style="1" bestFit="1" customWidth="1"/>
    <col min="2" max="2" width="10.140625" style="1" customWidth="1"/>
    <col min="3" max="3" width="9.42578125" style="3" customWidth="1"/>
    <col min="6" max="6" width="14" customWidth="1"/>
    <col min="7" max="7" width="18.42578125" customWidth="1"/>
    <col min="8" max="8" width="23.7109375" customWidth="1"/>
    <col min="9" max="9" width="23.85546875" customWidth="1"/>
    <col min="10" max="10" width="27.85546875" customWidth="1"/>
    <col min="11" max="11" width="10.42578125" customWidth="1"/>
    <col min="12" max="12" width="23.28515625" customWidth="1"/>
    <col min="13" max="13" width="23.85546875" bestFit="1" customWidth="1"/>
  </cols>
  <sheetData>
    <row r="1" spans="1:14" x14ac:dyDescent="0.25">
      <c r="A1" s="1" t="s">
        <v>0</v>
      </c>
      <c r="B1" s="1" t="s">
        <v>26</v>
      </c>
      <c r="C1" s="3" t="s">
        <v>27</v>
      </c>
      <c r="D1" t="s">
        <v>1</v>
      </c>
      <c r="E1" t="s">
        <v>2</v>
      </c>
      <c r="F1" t="s">
        <v>3</v>
      </c>
      <c r="G1" t="s">
        <v>4</v>
      </c>
      <c r="H1" t="s">
        <v>5</v>
      </c>
      <c r="I1" t="s">
        <v>6</v>
      </c>
      <c r="J1" t="s">
        <v>7</v>
      </c>
      <c r="K1" t="s">
        <v>8</v>
      </c>
      <c r="L1" t="s">
        <v>9</v>
      </c>
      <c r="M1" t="s">
        <v>10</v>
      </c>
      <c r="N1" t="s">
        <v>11</v>
      </c>
    </row>
    <row r="2" spans="1:14" x14ac:dyDescent="0.25">
      <c r="A2" s="1">
        <v>45060</v>
      </c>
      <c r="B2" s="1" t="str">
        <f>TEXT(Table1[[#This Row],[Date]],"mmm")</f>
        <v>May</v>
      </c>
      <c r="C2" s="3">
        <f>YEAR(Table1[[#This Row],[Date]])</f>
        <v>2023</v>
      </c>
      <c r="D2" t="s">
        <v>12</v>
      </c>
      <c r="E2">
        <v>2581</v>
      </c>
      <c r="F2" s="2">
        <v>2957.1428571428601</v>
      </c>
      <c r="G2" s="2">
        <v>5857</v>
      </c>
      <c r="H2">
        <v>80</v>
      </c>
      <c r="I2">
        <v>0.89</v>
      </c>
      <c r="J2">
        <v>0.85</v>
      </c>
      <c r="K2">
        <v>0.72</v>
      </c>
      <c r="L2" t="s">
        <v>13</v>
      </c>
      <c r="M2" t="s">
        <v>14</v>
      </c>
      <c r="N2">
        <v>8</v>
      </c>
    </row>
    <row r="3" spans="1:14" x14ac:dyDescent="0.25">
      <c r="A3" s="1">
        <v>44983</v>
      </c>
      <c r="B3" s="1" t="str">
        <f>TEXT(Table1[[#This Row],[Date]],"mmm")</f>
        <v>Feb</v>
      </c>
      <c r="C3" s="3">
        <f>YEAR(Table1[[#This Row],[Date]])</f>
        <v>2023</v>
      </c>
      <c r="D3" t="s">
        <v>15</v>
      </c>
      <c r="E3">
        <v>3944</v>
      </c>
      <c r="F3" s="2">
        <v>2957.1428571428601</v>
      </c>
      <c r="G3" s="2">
        <v>5857</v>
      </c>
      <c r="H3">
        <v>30</v>
      </c>
      <c r="I3">
        <v>0.94</v>
      </c>
      <c r="J3">
        <v>0.95</v>
      </c>
      <c r="K3">
        <v>0.86</v>
      </c>
      <c r="L3" t="s">
        <v>16</v>
      </c>
      <c r="M3" t="s">
        <v>17</v>
      </c>
      <c r="N3">
        <v>4</v>
      </c>
    </row>
    <row r="4" spans="1:14" x14ac:dyDescent="0.25">
      <c r="A4" s="1">
        <v>44984</v>
      </c>
      <c r="B4" s="1" t="str">
        <f>TEXT(Table1[[#This Row],[Date]],"mmm")</f>
        <v>Feb</v>
      </c>
      <c r="C4" s="3">
        <f>YEAR(Table1[[#This Row],[Date]])</f>
        <v>2023</v>
      </c>
      <c r="D4" t="s">
        <v>18</v>
      </c>
      <c r="E4">
        <v>3293</v>
      </c>
      <c r="F4" s="2">
        <v>2957.1428571428601</v>
      </c>
      <c r="G4" s="2">
        <v>5857</v>
      </c>
      <c r="H4">
        <v>15</v>
      </c>
      <c r="I4">
        <v>0.82</v>
      </c>
      <c r="J4">
        <v>0.8</v>
      </c>
      <c r="K4">
        <v>0.76</v>
      </c>
      <c r="L4" t="s">
        <v>19</v>
      </c>
      <c r="M4" t="s">
        <v>20</v>
      </c>
      <c r="N4">
        <v>3</v>
      </c>
    </row>
    <row r="5" spans="1:14" x14ac:dyDescent="0.25">
      <c r="A5" s="1">
        <v>44985</v>
      </c>
      <c r="B5" s="1" t="str">
        <f>TEXT(Table1[[#This Row],[Date]],"mmm")</f>
        <v>Feb</v>
      </c>
      <c r="C5" s="3">
        <f>YEAR(Table1[[#This Row],[Date]])</f>
        <v>2023</v>
      </c>
      <c r="D5" t="s">
        <v>18</v>
      </c>
      <c r="E5">
        <v>2019</v>
      </c>
      <c r="F5" s="2">
        <v>2957.1428571428601</v>
      </c>
      <c r="G5" s="2">
        <v>5857</v>
      </c>
      <c r="H5">
        <v>40</v>
      </c>
      <c r="I5">
        <v>0.79</v>
      </c>
      <c r="J5">
        <v>0.79</v>
      </c>
      <c r="K5">
        <v>0.79</v>
      </c>
      <c r="L5" t="s">
        <v>21</v>
      </c>
      <c r="M5" t="s">
        <v>14</v>
      </c>
      <c r="N5">
        <v>2</v>
      </c>
    </row>
    <row r="6" spans="1:14" x14ac:dyDescent="0.25">
      <c r="A6" s="1">
        <v>45228</v>
      </c>
      <c r="B6" s="1" t="str">
        <f>TEXT(Table1[[#This Row],[Date]],"mmm")</f>
        <v>Oct</v>
      </c>
      <c r="C6" s="3">
        <f>YEAR(Table1[[#This Row],[Date]])</f>
        <v>2023</v>
      </c>
      <c r="D6" t="s">
        <v>15</v>
      </c>
      <c r="E6">
        <v>2980</v>
      </c>
      <c r="F6" s="2">
        <v>2958</v>
      </c>
      <c r="G6" s="2">
        <v>5857</v>
      </c>
      <c r="H6">
        <v>100</v>
      </c>
      <c r="I6">
        <v>0.96</v>
      </c>
      <c r="J6">
        <v>0.79</v>
      </c>
      <c r="K6">
        <v>0.7</v>
      </c>
      <c r="L6" t="s">
        <v>22</v>
      </c>
      <c r="M6" t="s">
        <v>23</v>
      </c>
      <c r="N6">
        <v>7</v>
      </c>
    </row>
    <row r="7" spans="1:14" x14ac:dyDescent="0.25">
      <c r="A7" s="1">
        <v>45229</v>
      </c>
      <c r="B7" s="1" t="str">
        <f>TEXT(Table1[[#This Row],[Date]],"mmm")</f>
        <v>Oct</v>
      </c>
      <c r="C7" s="3">
        <f>YEAR(Table1[[#This Row],[Date]])</f>
        <v>2023</v>
      </c>
      <c r="D7" t="s">
        <v>15</v>
      </c>
      <c r="E7">
        <v>2209</v>
      </c>
      <c r="F7" s="2">
        <v>2957.1428571428601</v>
      </c>
      <c r="G7" s="2">
        <v>5857</v>
      </c>
      <c r="H7">
        <v>15</v>
      </c>
      <c r="I7">
        <v>0.79</v>
      </c>
      <c r="J7">
        <v>0.79</v>
      </c>
      <c r="K7">
        <v>0.77</v>
      </c>
      <c r="L7" t="s">
        <v>22</v>
      </c>
      <c r="M7" t="s">
        <v>14</v>
      </c>
      <c r="N7">
        <v>9</v>
      </c>
    </row>
    <row r="8" spans="1:14" x14ac:dyDescent="0.25">
      <c r="A8" s="1">
        <v>45230</v>
      </c>
      <c r="B8" s="1" t="str">
        <f>TEXT(Table1[[#This Row],[Date]],"mmm")</f>
        <v>Oct</v>
      </c>
      <c r="C8" s="3">
        <f>YEAR(Table1[[#This Row],[Date]])</f>
        <v>2023</v>
      </c>
      <c r="D8" t="s">
        <v>24</v>
      </c>
      <c r="E8">
        <v>2440</v>
      </c>
      <c r="F8" s="2">
        <v>2957.1428571428601</v>
      </c>
      <c r="G8" s="2">
        <v>5857</v>
      </c>
      <c r="H8">
        <v>20</v>
      </c>
      <c r="I8">
        <v>0.75</v>
      </c>
      <c r="J8">
        <v>0.72</v>
      </c>
      <c r="K8">
        <v>0.93</v>
      </c>
      <c r="L8" t="s">
        <v>22</v>
      </c>
      <c r="M8" t="s">
        <v>17</v>
      </c>
      <c r="N8">
        <v>5</v>
      </c>
    </row>
    <row r="9" spans="1:14" x14ac:dyDescent="0.25">
      <c r="A9" s="1">
        <v>45231</v>
      </c>
      <c r="B9" s="1" t="str">
        <f>TEXT(Table1[[#This Row],[Date]],"mmm")</f>
        <v>Nov</v>
      </c>
      <c r="C9" s="3">
        <f>YEAR(Table1[[#This Row],[Date]])</f>
        <v>2023</v>
      </c>
      <c r="D9" t="s">
        <v>24</v>
      </c>
      <c r="E9">
        <v>2000</v>
      </c>
      <c r="F9" s="2">
        <v>1328.57142857143</v>
      </c>
      <c r="G9" s="2">
        <v>4428.5714285714303</v>
      </c>
      <c r="H9">
        <v>90</v>
      </c>
      <c r="I9">
        <v>0.92</v>
      </c>
      <c r="J9">
        <v>0.99</v>
      </c>
      <c r="K9">
        <v>0.74</v>
      </c>
      <c r="L9" t="s">
        <v>19</v>
      </c>
      <c r="M9" t="s">
        <v>17</v>
      </c>
      <c r="N9">
        <v>6</v>
      </c>
    </row>
    <row r="10" spans="1:14" x14ac:dyDescent="0.25">
      <c r="A10" s="1">
        <v>45232</v>
      </c>
      <c r="B10" s="1" t="str">
        <f>TEXT(Table1[[#This Row],[Date]],"mmm")</f>
        <v>Nov</v>
      </c>
      <c r="C10" s="3">
        <f>YEAR(Table1[[#This Row],[Date]])</f>
        <v>2023</v>
      </c>
      <c r="D10" t="s">
        <v>24</v>
      </c>
      <c r="E10">
        <v>1431</v>
      </c>
      <c r="F10" s="2">
        <v>1328.57142857143</v>
      </c>
      <c r="G10" s="2">
        <v>4428.5714285714303</v>
      </c>
      <c r="H10">
        <v>30</v>
      </c>
      <c r="I10">
        <v>0.7</v>
      </c>
      <c r="J10">
        <v>0.99</v>
      </c>
      <c r="K10">
        <v>0.95</v>
      </c>
      <c r="L10" t="s">
        <v>19</v>
      </c>
      <c r="M10" t="s">
        <v>23</v>
      </c>
      <c r="N10">
        <v>8</v>
      </c>
    </row>
    <row r="11" spans="1:14" x14ac:dyDescent="0.25">
      <c r="A11" s="1">
        <v>45233</v>
      </c>
      <c r="B11" s="1" t="str">
        <f>TEXT(Table1[[#This Row],[Date]],"mmm")</f>
        <v>Nov</v>
      </c>
      <c r="C11" s="3">
        <f>YEAR(Table1[[#This Row],[Date]])</f>
        <v>2023</v>
      </c>
      <c r="D11" t="s">
        <v>15</v>
      </c>
      <c r="E11">
        <v>3000</v>
      </c>
      <c r="F11" s="2">
        <v>1328.57142857143</v>
      </c>
      <c r="G11" s="2">
        <v>4428.5714285714303</v>
      </c>
      <c r="H11">
        <v>15</v>
      </c>
      <c r="I11">
        <v>0.91</v>
      </c>
      <c r="J11">
        <v>0.98</v>
      </c>
      <c r="K11">
        <v>0.89</v>
      </c>
      <c r="L11" t="s">
        <v>19</v>
      </c>
      <c r="M11" t="s">
        <v>23</v>
      </c>
      <c r="N11">
        <v>4</v>
      </c>
    </row>
    <row r="12" spans="1:14" x14ac:dyDescent="0.25">
      <c r="A12" s="1">
        <v>45060</v>
      </c>
      <c r="B12" s="1" t="str">
        <f>TEXT(Table1[[#This Row],[Date]],"mmm")</f>
        <v>May</v>
      </c>
      <c r="C12" s="3">
        <f>YEAR(Table1[[#This Row],[Date]])</f>
        <v>2023</v>
      </c>
      <c r="D12" t="s">
        <v>15</v>
      </c>
      <c r="E12">
        <v>4000</v>
      </c>
      <c r="F12" s="2">
        <v>1328.57142857143</v>
      </c>
      <c r="G12" s="2">
        <v>4428.5714285714303</v>
      </c>
      <c r="H12">
        <v>40</v>
      </c>
      <c r="I12">
        <v>0.74</v>
      </c>
      <c r="J12">
        <v>0.85</v>
      </c>
      <c r="K12">
        <v>0.7</v>
      </c>
      <c r="L12" t="s">
        <v>19</v>
      </c>
      <c r="M12" t="s">
        <v>14</v>
      </c>
      <c r="N12">
        <v>3</v>
      </c>
    </row>
    <row r="13" spans="1:14" x14ac:dyDescent="0.25">
      <c r="A13" s="1">
        <v>45225</v>
      </c>
      <c r="B13" s="1" t="str">
        <f>TEXT(Table1[[#This Row],[Date]],"mmm")</f>
        <v>Oct</v>
      </c>
      <c r="C13" s="3">
        <f>YEAR(Table1[[#This Row],[Date]])</f>
        <v>2023</v>
      </c>
      <c r="D13" t="s">
        <v>12</v>
      </c>
      <c r="E13">
        <v>1000</v>
      </c>
      <c r="F13" s="2">
        <v>1328.57142857143</v>
      </c>
      <c r="G13" s="2">
        <v>4428.5714285714303</v>
      </c>
      <c r="H13">
        <v>100</v>
      </c>
      <c r="I13">
        <v>0.9</v>
      </c>
      <c r="J13">
        <v>0.9</v>
      </c>
      <c r="K13">
        <v>0.72</v>
      </c>
      <c r="L13" t="s">
        <v>19</v>
      </c>
      <c r="M13" t="s">
        <v>17</v>
      </c>
      <c r="N13">
        <v>2</v>
      </c>
    </row>
    <row r="14" spans="1:14" x14ac:dyDescent="0.25">
      <c r="A14" s="1">
        <v>44995</v>
      </c>
      <c r="B14" s="1" t="str">
        <f>TEXT(Table1[[#This Row],[Date]],"mmm")</f>
        <v>Mar</v>
      </c>
      <c r="C14" s="3">
        <f>YEAR(Table1[[#This Row],[Date]])</f>
        <v>2023</v>
      </c>
      <c r="D14" t="s">
        <v>12</v>
      </c>
      <c r="E14">
        <v>2000</v>
      </c>
      <c r="F14" s="2">
        <v>1328.57142857143</v>
      </c>
      <c r="G14" s="2">
        <v>4428.5714285714303</v>
      </c>
      <c r="H14">
        <v>15</v>
      </c>
      <c r="I14">
        <v>0.95</v>
      </c>
      <c r="J14">
        <v>0.97</v>
      </c>
      <c r="K14">
        <v>0.81</v>
      </c>
      <c r="L14" t="s">
        <v>19</v>
      </c>
      <c r="M14" t="s">
        <v>20</v>
      </c>
      <c r="N14">
        <v>7</v>
      </c>
    </row>
    <row r="15" spans="1:14" x14ac:dyDescent="0.25">
      <c r="A15" s="1">
        <v>45044</v>
      </c>
      <c r="B15" s="1" t="str">
        <f>TEXT(Table1[[#This Row],[Date]],"mmm")</f>
        <v>Apr</v>
      </c>
      <c r="C15" s="3">
        <f>YEAR(Table1[[#This Row],[Date]])</f>
        <v>2023</v>
      </c>
      <c r="D15" t="s">
        <v>18</v>
      </c>
      <c r="E15">
        <v>2000</v>
      </c>
      <c r="F15" s="2">
        <v>1328.57142857143</v>
      </c>
      <c r="G15" s="2">
        <v>4428.5714285714303</v>
      </c>
      <c r="H15">
        <v>20</v>
      </c>
      <c r="I15">
        <v>0.99</v>
      </c>
      <c r="J15">
        <v>0.79</v>
      </c>
      <c r="K15">
        <v>0.75</v>
      </c>
      <c r="L15" t="s">
        <v>19</v>
      </c>
      <c r="M15" t="s">
        <v>23</v>
      </c>
      <c r="N15">
        <v>9</v>
      </c>
    </row>
    <row r="16" spans="1:14" x14ac:dyDescent="0.25">
      <c r="A16" s="1">
        <v>45218</v>
      </c>
      <c r="B16" s="1" t="str">
        <f>TEXT(Table1[[#This Row],[Date]],"mmm")</f>
        <v>Oct</v>
      </c>
      <c r="C16" s="3">
        <f>YEAR(Table1[[#This Row],[Date]])</f>
        <v>2023</v>
      </c>
      <c r="D16" t="s">
        <v>18</v>
      </c>
      <c r="E16">
        <v>4000</v>
      </c>
      <c r="F16" s="2">
        <v>1328.57142857143</v>
      </c>
      <c r="G16" s="2">
        <v>1428.57142857143</v>
      </c>
      <c r="H16">
        <v>45</v>
      </c>
      <c r="I16">
        <v>0.86</v>
      </c>
      <c r="J16">
        <v>0.97</v>
      </c>
      <c r="K16">
        <v>0.89</v>
      </c>
      <c r="L16" t="s">
        <v>13</v>
      </c>
      <c r="M16" t="s">
        <v>25</v>
      </c>
      <c r="N16">
        <v>5</v>
      </c>
    </row>
    <row r="17" spans="1:14" x14ac:dyDescent="0.25">
      <c r="A17" s="1">
        <v>45160</v>
      </c>
      <c r="B17" s="1" t="str">
        <f>TEXT(Table1[[#This Row],[Date]],"mmm")</f>
        <v>Aug</v>
      </c>
      <c r="C17" s="3">
        <f>YEAR(Table1[[#This Row],[Date]])</f>
        <v>2023</v>
      </c>
      <c r="D17" t="s">
        <v>12</v>
      </c>
      <c r="E17">
        <v>6000</v>
      </c>
      <c r="F17" s="2">
        <v>1328.57142857143</v>
      </c>
      <c r="G17" s="2">
        <v>1428.57142857143</v>
      </c>
      <c r="H17">
        <v>43</v>
      </c>
      <c r="I17">
        <v>0.83</v>
      </c>
      <c r="J17">
        <v>0.72</v>
      </c>
      <c r="K17">
        <v>0.74</v>
      </c>
      <c r="L17" t="s">
        <v>16</v>
      </c>
      <c r="M17" t="s">
        <v>14</v>
      </c>
      <c r="N17">
        <v>6</v>
      </c>
    </row>
    <row r="18" spans="1:14" x14ac:dyDescent="0.25">
      <c r="A18" s="1">
        <v>45147</v>
      </c>
      <c r="B18" s="1" t="str">
        <f>TEXT(Table1[[#This Row],[Date]],"mmm")</f>
        <v>Aug</v>
      </c>
      <c r="C18" s="3">
        <f>YEAR(Table1[[#This Row],[Date]])</f>
        <v>2023</v>
      </c>
      <c r="D18" t="s">
        <v>15</v>
      </c>
      <c r="E18">
        <v>6500</v>
      </c>
      <c r="F18" s="2">
        <v>1328.57142857143</v>
      </c>
      <c r="G18" s="2">
        <v>1428.57142857143</v>
      </c>
      <c r="H18">
        <v>43</v>
      </c>
      <c r="I18">
        <v>0.74</v>
      </c>
      <c r="J18">
        <v>0.78</v>
      </c>
      <c r="K18">
        <v>0.94</v>
      </c>
      <c r="L18" t="s">
        <v>19</v>
      </c>
      <c r="M18" t="s">
        <v>17</v>
      </c>
      <c r="N18">
        <v>8</v>
      </c>
    </row>
    <row r="19" spans="1:14" x14ac:dyDescent="0.25">
      <c r="A19" s="1">
        <v>45078</v>
      </c>
      <c r="B19" s="1" t="str">
        <f>TEXT(Table1[[#This Row],[Date]],"mmm")</f>
        <v>Jun</v>
      </c>
      <c r="C19" s="3">
        <f>YEAR(Table1[[#This Row],[Date]])</f>
        <v>2023</v>
      </c>
      <c r="D19" t="s">
        <v>24</v>
      </c>
      <c r="E19">
        <v>1200</v>
      </c>
      <c r="F19" s="2">
        <v>1328.57142857143</v>
      </c>
      <c r="G19" s="2">
        <v>1428.57142857143</v>
      </c>
      <c r="H19">
        <v>43</v>
      </c>
      <c r="I19">
        <v>0.8</v>
      </c>
      <c r="J19">
        <v>0.84</v>
      </c>
      <c r="K19">
        <v>0.81</v>
      </c>
      <c r="L19" t="s">
        <v>21</v>
      </c>
      <c r="M19" t="s">
        <v>17</v>
      </c>
      <c r="N19">
        <v>4</v>
      </c>
    </row>
    <row r="20" spans="1:14" x14ac:dyDescent="0.25">
      <c r="A20" s="1">
        <v>44986</v>
      </c>
      <c r="B20" s="1" t="str">
        <f>TEXT(Table1[[#This Row],[Date]],"mmm")</f>
        <v>Mar</v>
      </c>
      <c r="C20" s="3">
        <f>YEAR(Table1[[#This Row],[Date]])</f>
        <v>2023</v>
      </c>
      <c r="D20" t="s">
        <v>24</v>
      </c>
      <c r="E20">
        <v>3000</v>
      </c>
      <c r="F20" s="2">
        <v>1328.57142857143</v>
      </c>
      <c r="G20" s="2">
        <v>1428.5714285714287</v>
      </c>
      <c r="H20">
        <v>43</v>
      </c>
      <c r="I20">
        <v>0.89</v>
      </c>
      <c r="J20">
        <v>0.99</v>
      </c>
      <c r="K20">
        <v>0.97</v>
      </c>
      <c r="L20" t="s">
        <v>13</v>
      </c>
      <c r="M20" t="s">
        <v>14</v>
      </c>
      <c r="N20">
        <v>3</v>
      </c>
    </row>
    <row r="21" spans="1:14" x14ac:dyDescent="0.25">
      <c r="A21" s="1">
        <v>45257</v>
      </c>
      <c r="B21" s="1" t="str">
        <f>TEXT(Table1[[#This Row],[Date]],"mmm")</f>
        <v>Nov</v>
      </c>
      <c r="C21" s="3">
        <f>YEAR(Table1[[#This Row],[Date]])</f>
        <v>2023</v>
      </c>
      <c r="D21" t="s">
        <v>24</v>
      </c>
      <c r="E21">
        <v>2000</v>
      </c>
      <c r="F21" s="2">
        <v>1328.57142857143</v>
      </c>
      <c r="G21" s="2">
        <v>1428.5714285714287</v>
      </c>
      <c r="H21">
        <v>40</v>
      </c>
      <c r="I21">
        <v>0.71</v>
      </c>
      <c r="J21">
        <v>0.87</v>
      </c>
      <c r="K21">
        <v>0.94</v>
      </c>
      <c r="L21" t="s">
        <v>16</v>
      </c>
      <c r="M21" t="s">
        <v>25</v>
      </c>
      <c r="N21">
        <v>2</v>
      </c>
    </row>
    <row r="22" spans="1:14" x14ac:dyDescent="0.25">
      <c r="A22" s="1">
        <v>45213</v>
      </c>
      <c r="B22" s="1" t="str">
        <f>TEXT(Table1[[#This Row],[Date]],"mmm")</f>
        <v>Oct</v>
      </c>
      <c r="C22" s="3">
        <f>YEAR(Table1[[#This Row],[Date]])</f>
        <v>2023</v>
      </c>
      <c r="D22" t="s">
        <v>24</v>
      </c>
      <c r="E22">
        <v>2000</v>
      </c>
      <c r="F22" s="2">
        <v>1328.57142857143</v>
      </c>
      <c r="G22" s="2">
        <v>1428.5714285714287</v>
      </c>
      <c r="H22">
        <v>43</v>
      </c>
      <c r="I22">
        <v>0.9</v>
      </c>
      <c r="J22">
        <v>0.72</v>
      </c>
      <c r="K22">
        <v>0.94</v>
      </c>
      <c r="L22" t="s">
        <v>19</v>
      </c>
      <c r="M22" t="s">
        <v>14</v>
      </c>
      <c r="N22">
        <v>7</v>
      </c>
    </row>
    <row r="23" spans="1:14" x14ac:dyDescent="0.25">
      <c r="A23" s="1">
        <v>45098</v>
      </c>
      <c r="B23" s="1" t="str">
        <f>TEXT(Table1[[#This Row],[Date]],"mmm")</f>
        <v>Jun</v>
      </c>
      <c r="C23" s="3">
        <f>YEAR(Table1[[#This Row],[Date]])</f>
        <v>2023</v>
      </c>
      <c r="D23" t="s">
        <v>12</v>
      </c>
      <c r="E23">
        <v>3000</v>
      </c>
      <c r="F23" s="2">
        <v>5214.2857142857101</v>
      </c>
      <c r="G23" s="2">
        <v>6714.2857142857101</v>
      </c>
      <c r="H23">
        <v>100</v>
      </c>
      <c r="I23">
        <v>0.89</v>
      </c>
      <c r="J23">
        <v>0.85</v>
      </c>
      <c r="K23">
        <v>0.87</v>
      </c>
      <c r="L23" t="s">
        <v>21</v>
      </c>
      <c r="M23" t="s">
        <v>17</v>
      </c>
      <c r="N23">
        <v>9</v>
      </c>
    </row>
    <row r="24" spans="1:14" x14ac:dyDescent="0.25">
      <c r="A24" s="1">
        <v>45130</v>
      </c>
      <c r="B24" s="1" t="str">
        <f>TEXT(Table1[[#This Row],[Date]],"mmm")</f>
        <v>Jul</v>
      </c>
      <c r="C24" s="3">
        <f>YEAR(Table1[[#This Row],[Date]])</f>
        <v>2023</v>
      </c>
      <c r="D24" t="s">
        <v>18</v>
      </c>
      <c r="E24">
        <v>4500</v>
      </c>
      <c r="F24" s="2">
        <v>5214.2857142857101</v>
      </c>
      <c r="G24" s="2">
        <v>6714.2857142857101</v>
      </c>
      <c r="H24">
        <v>100</v>
      </c>
      <c r="I24">
        <v>0.89</v>
      </c>
      <c r="J24">
        <v>0.8</v>
      </c>
      <c r="K24">
        <v>0.88</v>
      </c>
      <c r="L24" t="s">
        <v>13</v>
      </c>
      <c r="M24" t="s">
        <v>20</v>
      </c>
      <c r="N24">
        <v>5</v>
      </c>
    </row>
    <row r="25" spans="1:14" x14ac:dyDescent="0.25">
      <c r="A25" s="1">
        <v>45127</v>
      </c>
      <c r="B25" s="1" t="str">
        <f>TEXT(Table1[[#This Row],[Date]],"mmm")</f>
        <v>Jul</v>
      </c>
      <c r="C25" s="3">
        <f>YEAR(Table1[[#This Row],[Date]])</f>
        <v>2023</v>
      </c>
      <c r="D25" t="s">
        <v>12</v>
      </c>
      <c r="E25">
        <v>5500</v>
      </c>
      <c r="F25" s="2">
        <v>1214.2857142857099</v>
      </c>
      <c r="G25" s="2">
        <v>6714.2857142857101</v>
      </c>
      <c r="H25">
        <v>100</v>
      </c>
      <c r="I25">
        <v>0.98</v>
      </c>
      <c r="J25">
        <v>0.99</v>
      </c>
      <c r="K25">
        <v>0.81</v>
      </c>
      <c r="L25" t="s">
        <v>19</v>
      </c>
      <c r="M25" t="s">
        <v>14</v>
      </c>
      <c r="N25">
        <v>6</v>
      </c>
    </row>
    <row r="26" spans="1:14" x14ac:dyDescent="0.25">
      <c r="A26" s="1">
        <v>45129</v>
      </c>
      <c r="B26" s="1" t="str">
        <f>TEXT(Table1[[#This Row],[Date]],"mmm")</f>
        <v>Jul</v>
      </c>
      <c r="C26" s="3">
        <f>YEAR(Table1[[#This Row],[Date]])</f>
        <v>2023</v>
      </c>
      <c r="D26" t="s">
        <v>15</v>
      </c>
      <c r="E26">
        <v>1000</v>
      </c>
      <c r="F26" s="2">
        <v>5214.2857142857101</v>
      </c>
      <c r="G26" s="2">
        <v>6714.2857142857101</v>
      </c>
      <c r="H26">
        <v>100</v>
      </c>
      <c r="I26">
        <v>0.81</v>
      </c>
      <c r="J26">
        <v>0.91</v>
      </c>
      <c r="K26">
        <v>0.95</v>
      </c>
      <c r="L26" t="s">
        <v>21</v>
      </c>
      <c r="M26" t="s">
        <v>25</v>
      </c>
      <c r="N26">
        <v>8</v>
      </c>
    </row>
    <row r="27" spans="1:14" x14ac:dyDescent="0.25">
      <c r="A27" s="1">
        <v>45018</v>
      </c>
      <c r="B27" s="1" t="str">
        <f>TEXT(Table1[[#This Row],[Date]],"mmm")</f>
        <v>Apr</v>
      </c>
      <c r="C27" s="3">
        <f>YEAR(Table1[[#This Row],[Date]])</f>
        <v>2023</v>
      </c>
      <c r="D27" t="s">
        <v>12</v>
      </c>
      <c r="E27">
        <v>2000</v>
      </c>
      <c r="F27" s="2">
        <v>5214.2857142857101</v>
      </c>
      <c r="G27" s="2">
        <v>6714.2857142857101</v>
      </c>
      <c r="H27">
        <v>100</v>
      </c>
      <c r="I27">
        <v>0.97</v>
      </c>
      <c r="J27">
        <v>0.85</v>
      </c>
      <c r="K27">
        <v>0.85</v>
      </c>
      <c r="L27" t="s">
        <v>13</v>
      </c>
      <c r="M27" t="s">
        <v>14</v>
      </c>
      <c r="N27">
        <v>4</v>
      </c>
    </row>
    <row r="28" spans="1:14" x14ac:dyDescent="0.25">
      <c r="A28" s="1">
        <v>44979</v>
      </c>
      <c r="B28" s="1" t="str">
        <f>TEXT(Table1[[#This Row],[Date]],"mmm")</f>
        <v>Feb</v>
      </c>
      <c r="C28" s="3">
        <f>YEAR(Table1[[#This Row],[Date]])</f>
        <v>2023</v>
      </c>
      <c r="D28" t="s">
        <v>12</v>
      </c>
      <c r="E28">
        <v>2000</v>
      </c>
      <c r="F28" s="2">
        <v>5214.2857142857101</v>
      </c>
      <c r="G28" s="2">
        <v>6714.2857142857101</v>
      </c>
      <c r="H28">
        <v>100</v>
      </c>
      <c r="I28">
        <v>0.89</v>
      </c>
      <c r="J28">
        <v>0.94</v>
      </c>
      <c r="K28">
        <v>0.8</v>
      </c>
      <c r="L28" t="s">
        <v>16</v>
      </c>
      <c r="M28" t="s">
        <v>14</v>
      </c>
      <c r="N28">
        <v>3</v>
      </c>
    </row>
    <row r="29" spans="1:14" x14ac:dyDescent="0.25">
      <c r="A29" s="1">
        <v>45179</v>
      </c>
      <c r="B29" s="1" t="str">
        <f>TEXT(Table1[[#This Row],[Date]],"mmm")</f>
        <v>Sep</v>
      </c>
      <c r="C29" s="3">
        <f>YEAR(Table1[[#This Row],[Date]])</f>
        <v>2023</v>
      </c>
      <c r="D29" t="s">
        <v>12</v>
      </c>
      <c r="E29">
        <v>2000</v>
      </c>
      <c r="F29" s="2">
        <v>5214.2857142857101</v>
      </c>
      <c r="G29" s="2">
        <v>6714.2857142857101</v>
      </c>
      <c r="H29">
        <v>100</v>
      </c>
      <c r="I29">
        <v>0.88</v>
      </c>
      <c r="J29">
        <v>0.94</v>
      </c>
      <c r="K29">
        <v>0.7</v>
      </c>
      <c r="L29" t="s">
        <v>19</v>
      </c>
      <c r="M29" t="s">
        <v>20</v>
      </c>
      <c r="N29">
        <v>2</v>
      </c>
    </row>
    <row r="30" spans="1:14" x14ac:dyDescent="0.25">
      <c r="A30" s="1">
        <v>45275</v>
      </c>
      <c r="B30" s="1" t="str">
        <f>TEXT(Table1[[#This Row],[Date]],"mmm")</f>
        <v>Dec</v>
      </c>
      <c r="C30" s="3">
        <f>YEAR(Table1[[#This Row],[Date]])</f>
        <v>2023</v>
      </c>
      <c r="D30" t="s">
        <v>12</v>
      </c>
      <c r="E30">
        <v>2000</v>
      </c>
      <c r="F30" s="2">
        <v>2957.1428571428601</v>
      </c>
      <c r="G30" s="2">
        <v>2857.1428571428573</v>
      </c>
      <c r="H30">
        <v>90</v>
      </c>
      <c r="I30">
        <v>0.75</v>
      </c>
      <c r="J30">
        <v>0.77</v>
      </c>
      <c r="K30">
        <v>0.84</v>
      </c>
      <c r="L30" t="s">
        <v>21</v>
      </c>
      <c r="M30" t="s">
        <v>23</v>
      </c>
      <c r="N30">
        <v>7</v>
      </c>
    </row>
    <row r="31" spans="1:14" x14ac:dyDescent="0.25">
      <c r="A31" s="1">
        <v>44997</v>
      </c>
      <c r="B31" s="1" t="str">
        <f>TEXT(Table1[[#This Row],[Date]],"mmm")</f>
        <v>Mar</v>
      </c>
      <c r="C31" s="3">
        <f>YEAR(Table1[[#This Row],[Date]])</f>
        <v>2023</v>
      </c>
      <c r="D31" t="s">
        <v>12</v>
      </c>
      <c r="E31">
        <v>1700</v>
      </c>
      <c r="F31" s="2">
        <v>2957.1428571428601</v>
      </c>
      <c r="G31" s="2">
        <v>2857.1428571428573</v>
      </c>
      <c r="H31">
        <v>80</v>
      </c>
      <c r="I31">
        <v>0.73</v>
      </c>
      <c r="J31">
        <v>0.96</v>
      </c>
      <c r="K31">
        <v>0.93</v>
      </c>
      <c r="L31" t="s">
        <v>21</v>
      </c>
      <c r="M31" t="s">
        <v>25</v>
      </c>
      <c r="N31">
        <v>4</v>
      </c>
    </row>
    <row r="32" spans="1:14" x14ac:dyDescent="0.25">
      <c r="A32" s="1">
        <v>45179</v>
      </c>
      <c r="B32" s="1" t="str">
        <f>TEXT(Table1[[#This Row],[Date]],"mmm")</f>
        <v>Sep</v>
      </c>
      <c r="C32" s="3">
        <f>YEAR(Table1[[#This Row],[Date]])</f>
        <v>2023</v>
      </c>
      <c r="D32" t="s">
        <v>12</v>
      </c>
      <c r="E32">
        <v>1600</v>
      </c>
      <c r="F32" s="2">
        <v>2957.1428571428601</v>
      </c>
      <c r="G32" s="2">
        <v>2857.1428571428573</v>
      </c>
      <c r="H32">
        <v>90</v>
      </c>
      <c r="I32">
        <v>0.93</v>
      </c>
      <c r="J32">
        <v>0.74</v>
      </c>
      <c r="K32">
        <v>0.93</v>
      </c>
      <c r="L32" t="s">
        <v>19</v>
      </c>
      <c r="M32" t="s">
        <v>14</v>
      </c>
      <c r="N32">
        <v>5</v>
      </c>
    </row>
    <row r="33" spans="1:14" x14ac:dyDescent="0.25">
      <c r="A33" s="1">
        <v>44928</v>
      </c>
      <c r="B33" s="1" t="str">
        <f>TEXT(Table1[[#This Row],[Date]],"mmm")</f>
        <v>Jan</v>
      </c>
      <c r="C33" s="3">
        <f>YEAR(Table1[[#This Row],[Date]])</f>
        <v>2023</v>
      </c>
      <c r="D33" t="s">
        <v>15</v>
      </c>
      <c r="E33">
        <v>1200</v>
      </c>
      <c r="F33" s="2">
        <v>2957.1428571428601</v>
      </c>
      <c r="G33" s="2">
        <v>2857.1428571428573</v>
      </c>
      <c r="H33">
        <v>110</v>
      </c>
      <c r="I33">
        <v>0.85</v>
      </c>
      <c r="J33">
        <v>0.7</v>
      </c>
      <c r="K33">
        <v>0.99</v>
      </c>
      <c r="L33" t="s">
        <v>21</v>
      </c>
      <c r="M33" t="s">
        <v>17</v>
      </c>
      <c r="N33">
        <v>6</v>
      </c>
    </row>
    <row r="34" spans="1:14" x14ac:dyDescent="0.25">
      <c r="A34" s="1">
        <v>45227</v>
      </c>
      <c r="B34" s="1" t="str">
        <f>TEXT(Table1[[#This Row],[Date]],"mmm")</f>
        <v>Oct</v>
      </c>
      <c r="C34" s="3">
        <f>YEAR(Table1[[#This Row],[Date]])</f>
        <v>2023</v>
      </c>
      <c r="D34" t="s">
        <v>18</v>
      </c>
      <c r="E34">
        <v>2500</v>
      </c>
      <c r="F34" s="2">
        <v>2957.1428571428601</v>
      </c>
      <c r="G34" s="2">
        <v>2857.1428571428573</v>
      </c>
      <c r="H34">
        <v>90</v>
      </c>
      <c r="I34">
        <v>0.92</v>
      </c>
      <c r="J34">
        <v>0.99</v>
      </c>
      <c r="K34">
        <v>0.88</v>
      </c>
      <c r="L34" t="s">
        <v>13</v>
      </c>
      <c r="M34" t="s">
        <v>20</v>
      </c>
      <c r="N34">
        <v>8</v>
      </c>
    </row>
    <row r="35" spans="1:14" x14ac:dyDescent="0.25">
      <c r="A35" s="1">
        <v>45103</v>
      </c>
      <c r="B35" s="1" t="str">
        <f>TEXT(Table1[[#This Row],[Date]],"mmm")</f>
        <v>Jun</v>
      </c>
      <c r="C35" s="3">
        <f>YEAR(Table1[[#This Row],[Date]])</f>
        <v>2023</v>
      </c>
      <c r="D35" t="s">
        <v>18</v>
      </c>
      <c r="E35">
        <v>2100</v>
      </c>
      <c r="F35" s="2">
        <v>2957.1428571428601</v>
      </c>
      <c r="G35" s="2">
        <v>2857.1428571428573</v>
      </c>
      <c r="H35">
        <v>100</v>
      </c>
      <c r="I35">
        <v>0.75</v>
      </c>
      <c r="J35">
        <v>0.97</v>
      </c>
      <c r="K35">
        <v>0.83</v>
      </c>
      <c r="L35" t="s">
        <v>16</v>
      </c>
      <c r="M35" t="s">
        <v>23</v>
      </c>
      <c r="N35">
        <v>4</v>
      </c>
    </row>
    <row r="36" spans="1:14" x14ac:dyDescent="0.25">
      <c r="A36" s="1">
        <v>45243</v>
      </c>
      <c r="B36" s="1" t="str">
        <f>TEXT(Table1[[#This Row],[Date]],"mmm")</f>
        <v>Nov</v>
      </c>
      <c r="C36" s="3">
        <f>YEAR(Table1[[#This Row],[Date]])</f>
        <v>2023</v>
      </c>
      <c r="D36" t="s">
        <v>18</v>
      </c>
      <c r="E36">
        <v>2150</v>
      </c>
      <c r="F36" s="2">
        <v>2957.1428571428601</v>
      </c>
      <c r="G36" s="2">
        <v>2857.1428571428573</v>
      </c>
      <c r="H36">
        <v>90</v>
      </c>
      <c r="I36">
        <v>0.77</v>
      </c>
      <c r="J36">
        <v>0.97</v>
      </c>
      <c r="K36">
        <v>0.78</v>
      </c>
      <c r="L36" t="s">
        <v>13</v>
      </c>
      <c r="M36" t="s">
        <v>25</v>
      </c>
      <c r="N36">
        <v>3</v>
      </c>
    </row>
    <row r="37" spans="1:14" x14ac:dyDescent="0.25">
      <c r="A37" s="1">
        <v>45107</v>
      </c>
      <c r="B37" s="1" t="str">
        <f>TEXT(Table1[[#This Row],[Date]],"mmm")</f>
        <v>Jun</v>
      </c>
      <c r="C37" s="3">
        <f>YEAR(Table1[[#This Row],[Date]])</f>
        <v>2023</v>
      </c>
      <c r="D37" t="s">
        <v>18</v>
      </c>
      <c r="E37">
        <v>2200</v>
      </c>
      <c r="F37" s="2">
        <v>757.142857142857</v>
      </c>
      <c r="G37" s="2">
        <v>857.14285714285711</v>
      </c>
      <c r="H37">
        <v>228</v>
      </c>
      <c r="I37">
        <v>0.79</v>
      </c>
      <c r="J37">
        <v>0.75</v>
      </c>
      <c r="K37">
        <v>0.93</v>
      </c>
      <c r="L37" t="s">
        <v>16</v>
      </c>
      <c r="M37" t="s">
        <v>14</v>
      </c>
      <c r="N37">
        <v>2</v>
      </c>
    </row>
    <row r="38" spans="1:14" x14ac:dyDescent="0.25">
      <c r="A38" s="1">
        <v>45030</v>
      </c>
      <c r="B38" s="1" t="str">
        <f>TEXT(Table1[[#This Row],[Date]],"mmm")</f>
        <v>Apr</v>
      </c>
      <c r="C38" s="3">
        <f>YEAR(Table1[[#This Row],[Date]])</f>
        <v>2023</v>
      </c>
      <c r="D38" t="s">
        <v>15</v>
      </c>
      <c r="E38">
        <v>1800</v>
      </c>
      <c r="F38" s="2">
        <v>757.142857142857</v>
      </c>
      <c r="G38" s="2">
        <v>857.14285714285711</v>
      </c>
      <c r="H38">
        <v>220</v>
      </c>
      <c r="I38">
        <v>0.81</v>
      </c>
      <c r="J38">
        <v>0.98</v>
      </c>
      <c r="K38">
        <v>0.86</v>
      </c>
      <c r="L38" t="s">
        <v>19</v>
      </c>
      <c r="M38" t="s">
        <v>17</v>
      </c>
      <c r="N38">
        <v>7</v>
      </c>
    </row>
    <row r="39" spans="1:14" x14ac:dyDescent="0.25">
      <c r="A39" s="1">
        <v>45266</v>
      </c>
      <c r="B39" s="1" t="str">
        <f>TEXT(Table1[[#This Row],[Date]],"mmm")</f>
        <v>Dec</v>
      </c>
      <c r="C39" s="3">
        <f>YEAR(Table1[[#This Row],[Date]])</f>
        <v>2023</v>
      </c>
      <c r="D39" t="s">
        <v>24</v>
      </c>
      <c r="E39">
        <v>1800</v>
      </c>
      <c r="F39" s="2">
        <v>757.142857142857</v>
      </c>
      <c r="G39" s="2">
        <v>857.14285714285711</v>
      </c>
      <c r="H39">
        <v>228</v>
      </c>
      <c r="I39">
        <v>0.86</v>
      </c>
      <c r="J39">
        <v>0.82</v>
      </c>
      <c r="K39">
        <v>0.86</v>
      </c>
      <c r="L39" t="s">
        <v>21</v>
      </c>
      <c r="M39" t="s">
        <v>20</v>
      </c>
      <c r="N39">
        <v>9</v>
      </c>
    </row>
    <row r="40" spans="1:14" x14ac:dyDescent="0.25">
      <c r="A40" s="1">
        <v>45054</v>
      </c>
      <c r="B40" s="1" t="str">
        <f>TEXT(Table1[[#This Row],[Date]],"mmm")</f>
        <v>May</v>
      </c>
      <c r="C40" s="3">
        <f>YEAR(Table1[[#This Row],[Date]])</f>
        <v>2023</v>
      </c>
      <c r="D40" t="s">
        <v>12</v>
      </c>
      <c r="E40">
        <v>1414</v>
      </c>
      <c r="F40" s="2">
        <v>757.142857142857</v>
      </c>
      <c r="G40" s="2">
        <v>857.14285714285711</v>
      </c>
      <c r="H40">
        <v>238</v>
      </c>
      <c r="I40">
        <v>0.72</v>
      </c>
      <c r="J40">
        <v>0.95</v>
      </c>
      <c r="K40">
        <v>0.9</v>
      </c>
      <c r="L40" t="s">
        <v>22</v>
      </c>
      <c r="M40" t="s">
        <v>23</v>
      </c>
      <c r="N40">
        <v>5</v>
      </c>
    </row>
    <row r="41" spans="1:14" x14ac:dyDescent="0.25">
      <c r="A41" s="1">
        <v>45019</v>
      </c>
      <c r="B41" s="1" t="str">
        <f>TEXT(Table1[[#This Row],[Date]],"mmm")</f>
        <v>Apr</v>
      </c>
      <c r="C41" s="3">
        <f>YEAR(Table1[[#This Row],[Date]])</f>
        <v>2023</v>
      </c>
      <c r="D41" t="s">
        <v>18</v>
      </c>
      <c r="E41">
        <v>2100</v>
      </c>
      <c r="F41" s="2">
        <v>757.142857142857</v>
      </c>
      <c r="G41" s="2">
        <v>857.14285714285711</v>
      </c>
      <c r="H41">
        <v>228</v>
      </c>
      <c r="I41">
        <v>0.71</v>
      </c>
      <c r="J41">
        <v>0.8</v>
      </c>
      <c r="K41">
        <v>0.76</v>
      </c>
      <c r="L41" t="s">
        <v>22</v>
      </c>
      <c r="M41" t="s">
        <v>25</v>
      </c>
      <c r="N41">
        <v>5</v>
      </c>
    </row>
    <row r="42" spans="1:14" x14ac:dyDescent="0.25">
      <c r="A42" s="1">
        <v>45078</v>
      </c>
      <c r="B42" s="1" t="str">
        <f>TEXT(Table1[[#This Row],[Date]],"mmm")</f>
        <v>Jun</v>
      </c>
      <c r="C42" s="3">
        <f>YEAR(Table1[[#This Row],[Date]])</f>
        <v>2023</v>
      </c>
      <c r="D42" t="s">
        <v>18</v>
      </c>
      <c r="E42">
        <v>2500</v>
      </c>
      <c r="F42" s="2">
        <v>757.142857142857</v>
      </c>
      <c r="G42" s="2">
        <v>857.14285714285711</v>
      </c>
      <c r="H42">
        <v>230</v>
      </c>
      <c r="I42">
        <v>0.97</v>
      </c>
      <c r="J42">
        <v>0.95</v>
      </c>
      <c r="K42">
        <v>0.85</v>
      </c>
      <c r="L42" t="s">
        <v>22</v>
      </c>
      <c r="M42" t="s">
        <v>14</v>
      </c>
      <c r="N42">
        <v>8</v>
      </c>
    </row>
    <row r="43" spans="1:14" x14ac:dyDescent="0.25">
      <c r="A43" s="1">
        <v>45233</v>
      </c>
      <c r="B43" s="1" t="str">
        <f>TEXT(Table1[[#This Row],[Date]],"mmm")</f>
        <v>Nov</v>
      </c>
      <c r="C43" s="3">
        <f>YEAR(Table1[[#This Row],[Date]])</f>
        <v>2023</v>
      </c>
      <c r="D43" t="s">
        <v>24</v>
      </c>
      <c r="E43">
        <v>2200</v>
      </c>
      <c r="F43" s="2">
        <v>757.142857142857</v>
      </c>
      <c r="G43" s="2">
        <v>857.14285714285711</v>
      </c>
      <c r="H43">
        <v>228</v>
      </c>
      <c r="I43">
        <v>0.95</v>
      </c>
      <c r="J43">
        <v>0.85</v>
      </c>
      <c r="K43">
        <v>0.91</v>
      </c>
      <c r="L43" t="s">
        <v>19</v>
      </c>
      <c r="M43" t="s">
        <v>17</v>
      </c>
      <c r="N43">
        <v>4</v>
      </c>
    </row>
    <row r="44" spans="1:14" x14ac:dyDescent="0.25">
      <c r="A44" s="1">
        <v>45060</v>
      </c>
      <c r="B44" s="1" t="str">
        <f>TEXT(Table1[[#This Row],[Date]],"mmm")</f>
        <v>May</v>
      </c>
      <c r="C44" s="3">
        <f>YEAR(Table1[[#This Row],[Date]])</f>
        <v>2023</v>
      </c>
      <c r="D44" t="s">
        <v>12</v>
      </c>
      <c r="E44">
        <v>2500</v>
      </c>
      <c r="F44" s="2">
        <v>914.28571428571399</v>
      </c>
      <c r="G44" s="2">
        <v>714.28571428571433</v>
      </c>
      <c r="H44">
        <v>250</v>
      </c>
      <c r="I44">
        <v>0.97</v>
      </c>
      <c r="J44">
        <v>0.7</v>
      </c>
      <c r="K44">
        <v>0.93</v>
      </c>
      <c r="L44" t="s">
        <v>19</v>
      </c>
      <c r="M44" t="s">
        <v>20</v>
      </c>
      <c r="N44">
        <v>3</v>
      </c>
    </row>
    <row r="45" spans="1:14" x14ac:dyDescent="0.25">
      <c r="A45" s="1">
        <v>45225</v>
      </c>
      <c r="B45" s="1" t="str">
        <f>TEXT(Table1[[#This Row],[Date]],"mmm")</f>
        <v>Oct</v>
      </c>
      <c r="C45" s="3">
        <f>YEAR(Table1[[#This Row],[Date]])</f>
        <v>2023</v>
      </c>
      <c r="D45" t="s">
        <v>18</v>
      </c>
      <c r="E45">
        <v>2200</v>
      </c>
      <c r="F45" s="2">
        <v>914.28571428571399</v>
      </c>
      <c r="G45" s="2">
        <v>714.28571428571433</v>
      </c>
      <c r="H45">
        <v>240</v>
      </c>
      <c r="I45">
        <v>0.9</v>
      </c>
      <c r="J45">
        <v>0.98</v>
      </c>
      <c r="K45">
        <v>0.96</v>
      </c>
      <c r="L45" t="s">
        <v>19</v>
      </c>
      <c r="M45" t="s">
        <v>23</v>
      </c>
      <c r="N45">
        <v>2</v>
      </c>
    </row>
    <row r="46" spans="1:14" x14ac:dyDescent="0.25">
      <c r="A46" s="1">
        <v>45226</v>
      </c>
      <c r="B46" s="1" t="str">
        <f>TEXT(Table1[[#This Row],[Date]],"mmm")</f>
        <v>Oct</v>
      </c>
      <c r="C46" s="3">
        <f>YEAR(Table1[[#This Row],[Date]])</f>
        <v>2023</v>
      </c>
      <c r="D46" t="s">
        <v>12</v>
      </c>
      <c r="E46">
        <v>2500</v>
      </c>
      <c r="F46" s="2">
        <v>914.28571428571399</v>
      </c>
      <c r="G46" s="2">
        <v>714.28571428571433</v>
      </c>
      <c r="H46">
        <v>270</v>
      </c>
      <c r="I46">
        <v>0.9</v>
      </c>
      <c r="J46">
        <v>0.95</v>
      </c>
      <c r="K46">
        <v>0.98</v>
      </c>
      <c r="L46" t="s">
        <v>19</v>
      </c>
      <c r="M46" t="s">
        <v>25</v>
      </c>
      <c r="N46">
        <v>3</v>
      </c>
    </row>
    <row r="47" spans="1:14" x14ac:dyDescent="0.25">
      <c r="A47" s="1">
        <v>44954</v>
      </c>
      <c r="B47" s="1" t="str">
        <f>TEXT(Table1[[#This Row],[Date]],"mmm")</f>
        <v>Jan</v>
      </c>
      <c r="C47" s="3">
        <f>YEAR(Table1[[#This Row],[Date]])</f>
        <v>2023</v>
      </c>
      <c r="D47" t="s">
        <v>15</v>
      </c>
      <c r="E47">
        <v>2000</v>
      </c>
      <c r="F47" s="2">
        <v>914.28571428571399</v>
      </c>
      <c r="G47" s="2">
        <v>714.28571428571433</v>
      </c>
      <c r="H47">
        <v>259</v>
      </c>
      <c r="I47">
        <v>0.96</v>
      </c>
      <c r="J47">
        <v>0.81</v>
      </c>
      <c r="K47">
        <v>0.85</v>
      </c>
      <c r="L47" t="s">
        <v>19</v>
      </c>
      <c r="M47" t="s">
        <v>14</v>
      </c>
      <c r="N47">
        <v>9</v>
      </c>
    </row>
    <row r="48" spans="1:14" x14ac:dyDescent="0.25">
      <c r="A48" s="1">
        <v>44955</v>
      </c>
      <c r="B48" s="1" t="str">
        <f>TEXT(Table1[[#This Row],[Date]],"mmm")</f>
        <v>Jan</v>
      </c>
      <c r="C48" s="3">
        <f>YEAR(Table1[[#This Row],[Date]])</f>
        <v>2023</v>
      </c>
      <c r="D48" t="s">
        <v>15</v>
      </c>
      <c r="E48">
        <v>2500</v>
      </c>
      <c r="F48" s="2">
        <v>914.28571428571399</v>
      </c>
      <c r="G48" s="2">
        <v>714.28571428571433</v>
      </c>
      <c r="H48">
        <v>260</v>
      </c>
      <c r="I48">
        <v>0.98</v>
      </c>
      <c r="J48">
        <v>0.84</v>
      </c>
      <c r="K48">
        <v>0.89</v>
      </c>
      <c r="L48" t="s">
        <v>19</v>
      </c>
      <c r="M48" t="s">
        <v>14</v>
      </c>
      <c r="N48">
        <v>5</v>
      </c>
    </row>
    <row r="49" spans="1:14" x14ac:dyDescent="0.25">
      <c r="A49" s="1">
        <v>44956</v>
      </c>
      <c r="B49" s="1" t="str">
        <f>TEXT(Table1[[#This Row],[Date]],"mmm")</f>
        <v>Jan</v>
      </c>
      <c r="C49" s="3">
        <f>YEAR(Table1[[#This Row],[Date]])</f>
        <v>2023</v>
      </c>
      <c r="D49" t="s">
        <v>15</v>
      </c>
      <c r="E49">
        <v>2500</v>
      </c>
      <c r="F49" s="2">
        <v>914.28571428571399</v>
      </c>
      <c r="G49" s="2">
        <v>714.28571428571433</v>
      </c>
      <c r="H49">
        <v>260</v>
      </c>
      <c r="I49">
        <v>0.76</v>
      </c>
      <c r="J49">
        <v>0.7</v>
      </c>
      <c r="K49">
        <v>0.86</v>
      </c>
      <c r="L49" t="s">
        <v>19</v>
      </c>
      <c r="M49" t="s">
        <v>20</v>
      </c>
      <c r="N49">
        <v>6</v>
      </c>
    </row>
    <row r="50" spans="1:14" x14ac:dyDescent="0.25">
      <c r="A50" s="1">
        <v>44957</v>
      </c>
      <c r="B50" s="1" t="str">
        <f>TEXT(Table1[[#This Row],[Date]],"mmm")</f>
        <v>Jan</v>
      </c>
      <c r="C50" s="3">
        <f>YEAR(Table1[[#This Row],[Date]])</f>
        <v>2023</v>
      </c>
      <c r="D50" t="s">
        <v>12</v>
      </c>
      <c r="E50">
        <v>2500</v>
      </c>
      <c r="F50" s="2">
        <v>914.28571428571399</v>
      </c>
      <c r="G50" s="2">
        <v>714.28571428571433</v>
      </c>
      <c r="H50">
        <v>261</v>
      </c>
      <c r="I50">
        <v>0.91</v>
      </c>
      <c r="J50">
        <v>0.77</v>
      </c>
      <c r="K50">
        <v>0.75</v>
      </c>
      <c r="L50" t="s">
        <v>13</v>
      </c>
      <c r="M50" t="s">
        <v>23</v>
      </c>
      <c r="N50">
        <v>8</v>
      </c>
    </row>
    <row r="51" spans="1:14" x14ac:dyDescent="0.25">
      <c r="A51" s="1">
        <v>45231</v>
      </c>
      <c r="B51" s="1" t="str">
        <f>TEXT(Table1[[#This Row],[Date]],"mmm")</f>
        <v>Nov</v>
      </c>
      <c r="C51" s="3">
        <f>YEAR(Table1[[#This Row],[Date]])</f>
        <v>2023</v>
      </c>
      <c r="D51" t="s">
        <v>12</v>
      </c>
      <c r="E51">
        <v>2500</v>
      </c>
      <c r="F51" s="2">
        <v>914.28571428571399</v>
      </c>
      <c r="G51" s="2">
        <v>714.28571428571433</v>
      </c>
      <c r="H51">
        <v>242</v>
      </c>
      <c r="I51">
        <v>0.79</v>
      </c>
      <c r="J51">
        <v>0.81</v>
      </c>
      <c r="K51">
        <v>0.74</v>
      </c>
      <c r="L51" t="s">
        <v>16</v>
      </c>
      <c r="M51" t="s">
        <v>25</v>
      </c>
      <c r="N51">
        <v>4</v>
      </c>
    </row>
    <row r="52" spans="1:14" x14ac:dyDescent="0.25">
      <c r="A52" s="1">
        <v>45232</v>
      </c>
      <c r="B52" s="1" t="str">
        <f>TEXT(Table1[[#This Row],[Date]],"mmm")</f>
        <v>Nov</v>
      </c>
      <c r="C52" s="3">
        <f>YEAR(Table1[[#This Row],[Date]])</f>
        <v>2023</v>
      </c>
      <c r="D52" t="s">
        <v>12</v>
      </c>
      <c r="E52">
        <v>2250</v>
      </c>
      <c r="F52" s="2">
        <v>914.28571428571399</v>
      </c>
      <c r="G52" s="2">
        <v>714.28571428571433</v>
      </c>
      <c r="H52">
        <v>250</v>
      </c>
      <c r="I52">
        <v>0.85</v>
      </c>
      <c r="J52">
        <v>0.82</v>
      </c>
      <c r="K52">
        <v>0.73</v>
      </c>
      <c r="L52" t="s">
        <v>19</v>
      </c>
      <c r="M52" t="s">
        <v>14</v>
      </c>
      <c r="N52">
        <v>3</v>
      </c>
    </row>
    <row r="53" spans="1:14" x14ac:dyDescent="0.25">
      <c r="A53" s="1">
        <v>45233</v>
      </c>
      <c r="B53" s="1" t="str">
        <f>TEXT(Table1[[#This Row],[Date]],"mmm")</f>
        <v>Nov</v>
      </c>
      <c r="C53" s="3">
        <f>YEAR(Table1[[#This Row],[Date]])</f>
        <v>2023</v>
      </c>
      <c r="D53" t="s">
        <v>12</v>
      </c>
      <c r="E53">
        <v>2500</v>
      </c>
      <c r="F53" s="2">
        <v>914.28571428571399</v>
      </c>
      <c r="G53" s="2">
        <v>714.28571428571433</v>
      </c>
      <c r="H53">
        <v>242</v>
      </c>
      <c r="I53">
        <v>0.88</v>
      </c>
      <c r="J53">
        <v>0.84</v>
      </c>
      <c r="K53">
        <v>0.75</v>
      </c>
      <c r="L53" t="s">
        <v>21</v>
      </c>
      <c r="M53" t="s">
        <v>17</v>
      </c>
      <c r="N53">
        <v>2</v>
      </c>
    </row>
    <row r="54" spans="1:14" x14ac:dyDescent="0.25">
      <c r="A54" s="1">
        <v>45060</v>
      </c>
      <c r="B54" s="1" t="str">
        <f>TEXT(Table1[[#This Row],[Date]],"mmm")</f>
        <v>May</v>
      </c>
      <c r="C54" s="3">
        <f>YEAR(Table1[[#This Row],[Date]])</f>
        <v>2023</v>
      </c>
      <c r="D54" t="s">
        <v>12</v>
      </c>
      <c r="E54">
        <v>2500</v>
      </c>
      <c r="F54" s="2">
        <v>914.28571428571399</v>
      </c>
      <c r="G54" s="2">
        <v>714.28571428571433</v>
      </c>
      <c r="H54">
        <v>242</v>
      </c>
      <c r="I54">
        <v>0.81</v>
      </c>
      <c r="J54">
        <v>0.92</v>
      </c>
      <c r="K54">
        <v>0.91</v>
      </c>
      <c r="L54" t="s">
        <v>13</v>
      </c>
      <c r="M54" t="s">
        <v>20</v>
      </c>
      <c r="N54">
        <v>7</v>
      </c>
    </row>
    <row r="55" spans="1:14" x14ac:dyDescent="0.25">
      <c r="A55" s="1">
        <v>45225</v>
      </c>
      <c r="B55" s="1" t="str">
        <f>TEXT(Table1[[#This Row],[Date]],"mmm")</f>
        <v>Oct</v>
      </c>
      <c r="C55" s="3">
        <f>YEAR(Table1[[#This Row],[Date]])</f>
        <v>2023</v>
      </c>
      <c r="D55" t="s">
        <v>18</v>
      </c>
      <c r="E55">
        <v>2500</v>
      </c>
      <c r="F55" s="2">
        <v>914.28571428571399</v>
      </c>
      <c r="G55" s="2">
        <v>714.28571428571433</v>
      </c>
      <c r="H55">
        <v>242</v>
      </c>
      <c r="I55">
        <v>0.84</v>
      </c>
      <c r="J55">
        <v>0.73</v>
      </c>
      <c r="K55">
        <v>0.99</v>
      </c>
      <c r="L55" t="s">
        <v>16</v>
      </c>
      <c r="M55" t="s">
        <v>23</v>
      </c>
      <c r="N55">
        <v>9</v>
      </c>
    </row>
    <row r="56" spans="1:14" x14ac:dyDescent="0.25">
      <c r="A56" s="1">
        <v>44995</v>
      </c>
      <c r="B56" s="1" t="str">
        <f>TEXT(Table1[[#This Row],[Date]],"mmm")</f>
        <v>Mar</v>
      </c>
      <c r="C56" s="3">
        <f>YEAR(Table1[[#This Row],[Date]])</f>
        <v>2023</v>
      </c>
      <c r="D56" t="s">
        <v>18</v>
      </c>
      <c r="E56">
        <v>2500</v>
      </c>
      <c r="F56" s="2">
        <v>914.28571428571399</v>
      </c>
      <c r="G56" s="2">
        <v>714.28571428571433</v>
      </c>
      <c r="H56">
        <v>240</v>
      </c>
      <c r="I56">
        <v>0.93</v>
      </c>
      <c r="J56">
        <v>0.79</v>
      </c>
      <c r="K56">
        <v>0.72</v>
      </c>
      <c r="L56" t="s">
        <v>19</v>
      </c>
      <c r="M56" t="s">
        <v>25</v>
      </c>
      <c r="N56">
        <v>5</v>
      </c>
    </row>
    <row r="57" spans="1:14" x14ac:dyDescent="0.25">
      <c r="A57" s="1">
        <v>45044</v>
      </c>
      <c r="B57" s="1" t="str">
        <f>TEXT(Table1[[#This Row],[Date]],"mmm")</f>
        <v>Apr</v>
      </c>
      <c r="C57" s="3">
        <f>YEAR(Table1[[#This Row],[Date]])</f>
        <v>2023</v>
      </c>
      <c r="D57" t="s">
        <v>18</v>
      </c>
      <c r="E57">
        <v>2500</v>
      </c>
      <c r="F57" s="2">
        <v>914.28571428571399</v>
      </c>
      <c r="G57" s="2">
        <v>714.28571428571433</v>
      </c>
      <c r="H57">
        <v>242</v>
      </c>
      <c r="I57">
        <v>0.84</v>
      </c>
      <c r="J57">
        <v>0.79</v>
      </c>
      <c r="K57">
        <v>0.8</v>
      </c>
      <c r="L57" t="s">
        <v>21</v>
      </c>
      <c r="M57" t="s">
        <v>14</v>
      </c>
      <c r="N57">
        <v>6</v>
      </c>
    </row>
    <row r="58" spans="1:14" x14ac:dyDescent="0.25">
      <c r="A58" s="1">
        <v>44945</v>
      </c>
      <c r="B58" s="1" t="str">
        <f>TEXT(Table1[[#This Row],[Date]],"mmm")</f>
        <v>Jan</v>
      </c>
      <c r="C58" s="3">
        <f>YEAR(Table1[[#This Row],[Date]])</f>
        <v>2023</v>
      </c>
      <c r="D58" t="s">
        <v>18</v>
      </c>
      <c r="E58">
        <v>2200</v>
      </c>
      <c r="F58" s="2">
        <v>385.71428571428601</v>
      </c>
      <c r="G58" s="2">
        <v>285.71428571428572</v>
      </c>
      <c r="H58">
        <v>285</v>
      </c>
      <c r="I58">
        <v>0.85</v>
      </c>
      <c r="J58">
        <v>0.91</v>
      </c>
      <c r="K58">
        <v>0.84</v>
      </c>
      <c r="L58" t="s">
        <v>13</v>
      </c>
      <c r="M58" t="s">
        <v>17</v>
      </c>
      <c r="N58">
        <v>8</v>
      </c>
    </row>
    <row r="59" spans="1:14" x14ac:dyDescent="0.25">
      <c r="A59" s="1">
        <v>45160</v>
      </c>
      <c r="B59" s="1" t="str">
        <f>TEXT(Table1[[#This Row],[Date]],"mmm")</f>
        <v>Aug</v>
      </c>
      <c r="C59" s="3">
        <f>YEAR(Table1[[#This Row],[Date]])</f>
        <v>2023</v>
      </c>
      <c r="D59" t="s">
        <v>15</v>
      </c>
      <c r="E59">
        <v>2150</v>
      </c>
      <c r="F59" s="2">
        <v>385.71428571428601</v>
      </c>
      <c r="G59" s="2">
        <v>285.71428571428572</v>
      </c>
      <c r="H59">
        <v>275</v>
      </c>
      <c r="I59">
        <v>0.86</v>
      </c>
      <c r="J59">
        <v>0.75</v>
      </c>
      <c r="K59">
        <v>0.96</v>
      </c>
      <c r="L59" t="s">
        <v>19</v>
      </c>
      <c r="M59" t="s">
        <v>20</v>
      </c>
      <c r="N59">
        <v>4</v>
      </c>
    </row>
    <row r="60" spans="1:14" x14ac:dyDescent="0.25">
      <c r="A60" s="1">
        <v>45147</v>
      </c>
      <c r="B60" s="1" t="str">
        <f>TEXT(Table1[[#This Row],[Date]],"mmm")</f>
        <v>Aug</v>
      </c>
      <c r="C60" s="3">
        <f>YEAR(Table1[[#This Row],[Date]])</f>
        <v>2023</v>
      </c>
      <c r="D60" t="s">
        <v>24</v>
      </c>
      <c r="E60">
        <v>2400</v>
      </c>
      <c r="F60" s="2">
        <v>385.71428571428601</v>
      </c>
      <c r="G60" s="2">
        <v>285.71428571428572</v>
      </c>
      <c r="H60">
        <v>285</v>
      </c>
      <c r="I60">
        <v>0.96</v>
      </c>
      <c r="J60">
        <v>0.77</v>
      </c>
      <c r="K60">
        <v>0.92</v>
      </c>
      <c r="L60" t="s">
        <v>21</v>
      </c>
      <c r="M60" t="s">
        <v>23</v>
      </c>
      <c r="N60">
        <v>3</v>
      </c>
    </row>
    <row r="61" spans="1:14" x14ac:dyDescent="0.25">
      <c r="A61" s="1">
        <v>45078</v>
      </c>
      <c r="B61" s="1" t="str">
        <f>TEXT(Table1[[#This Row],[Date]],"mmm")</f>
        <v>Jun</v>
      </c>
      <c r="C61" s="3">
        <f>YEAR(Table1[[#This Row],[Date]])</f>
        <v>2023</v>
      </c>
      <c r="D61" t="s">
        <v>18</v>
      </c>
      <c r="E61">
        <v>2450</v>
      </c>
      <c r="F61" s="2">
        <v>385.71428571428601</v>
      </c>
      <c r="G61" s="2">
        <v>285.71428571428572</v>
      </c>
      <c r="H61">
        <v>290</v>
      </c>
      <c r="I61">
        <v>0.99</v>
      </c>
      <c r="J61">
        <v>0.97</v>
      </c>
      <c r="K61">
        <v>0.73</v>
      </c>
      <c r="L61" t="s">
        <v>13</v>
      </c>
      <c r="M61" t="s">
        <v>25</v>
      </c>
      <c r="N61">
        <v>2</v>
      </c>
    </row>
    <row r="62" spans="1:14" x14ac:dyDescent="0.25">
      <c r="A62" s="1">
        <v>44986</v>
      </c>
      <c r="B62" s="1" t="str">
        <f>TEXT(Table1[[#This Row],[Date]],"mmm")</f>
        <v>Mar</v>
      </c>
      <c r="C62" s="3">
        <f>YEAR(Table1[[#This Row],[Date]])</f>
        <v>2023</v>
      </c>
      <c r="D62" t="s">
        <v>15</v>
      </c>
      <c r="E62">
        <v>2500</v>
      </c>
      <c r="F62" s="2">
        <v>385.71428571428601</v>
      </c>
      <c r="G62" s="2">
        <v>285.71428571428572</v>
      </c>
      <c r="H62">
        <v>310</v>
      </c>
      <c r="I62">
        <v>0.77</v>
      </c>
      <c r="J62">
        <v>0.72</v>
      </c>
      <c r="K62">
        <v>0.85</v>
      </c>
      <c r="L62" t="s">
        <v>16</v>
      </c>
      <c r="M62" t="s">
        <v>14</v>
      </c>
      <c r="N62">
        <v>7</v>
      </c>
    </row>
    <row r="63" spans="1:14" x14ac:dyDescent="0.25">
      <c r="A63" s="1">
        <v>45257</v>
      </c>
      <c r="B63" s="1" t="str">
        <f>TEXT(Table1[[#This Row],[Date]],"mmm")</f>
        <v>Nov</v>
      </c>
      <c r="C63" s="3">
        <f>YEAR(Table1[[#This Row],[Date]])</f>
        <v>2023</v>
      </c>
      <c r="D63" t="s">
        <v>24</v>
      </c>
      <c r="E63">
        <v>2450</v>
      </c>
      <c r="F63" s="2">
        <v>385.71428571428601</v>
      </c>
      <c r="G63" s="2">
        <v>285.71428571428572</v>
      </c>
      <c r="H63">
        <v>270</v>
      </c>
      <c r="I63">
        <v>0.77</v>
      </c>
      <c r="J63">
        <v>0.96</v>
      </c>
      <c r="K63">
        <v>0.78</v>
      </c>
      <c r="L63" t="s">
        <v>19</v>
      </c>
      <c r="M63" t="s">
        <v>17</v>
      </c>
      <c r="N63">
        <v>9</v>
      </c>
    </row>
    <row r="64" spans="1:14" x14ac:dyDescent="0.25">
      <c r="A64" s="1">
        <v>45213</v>
      </c>
      <c r="B64" s="1" t="str">
        <f>TEXT(Table1[[#This Row],[Date]],"mmm")</f>
        <v>Oct</v>
      </c>
      <c r="C64" s="3">
        <f>YEAR(Table1[[#This Row],[Date]])</f>
        <v>2023</v>
      </c>
      <c r="D64" t="s">
        <v>18</v>
      </c>
      <c r="E64">
        <v>2400</v>
      </c>
      <c r="F64" s="2">
        <v>385.71428571428601</v>
      </c>
      <c r="G64" s="2">
        <v>285.71428571428572</v>
      </c>
      <c r="H64">
        <v>285</v>
      </c>
      <c r="I64">
        <v>0.78</v>
      </c>
      <c r="J64">
        <v>0.8</v>
      </c>
      <c r="K64">
        <v>0.85</v>
      </c>
      <c r="L64" t="s">
        <v>21</v>
      </c>
      <c r="M64" t="s">
        <v>20</v>
      </c>
      <c r="N64">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007A-B225-4DF1-902D-94810D50E4EA}">
  <sheetPr codeName="Sheet2"/>
  <dimension ref="A1:W22"/>
  <sheetViews>
    <sheetView showGridLines="0" workbookViewId="0">
      <selection activeCell="I8" sqref="I8"/>
    </sheetView>
  </sheetViews>
  <sheetFormatPr defaultRowHeight="15" x14ac:dyDescent="0.25"/>
  <cols>
    <col min="1" max="1" width="34.5703125" bestFit="1" customWidth="1"/>
    <col min="2" max="2" width="7.140625" bestFit="1" customWidth="1"/>
    <col min="3" max="3" width="18.85546875" bestFit="1" customWidth="1"/>
    <col min="4" max="4" width="4.7109375" customWidth="1"/>
    <col min="5" max="5" width="12.7109375" bestFit="1" customWidth="1"/>
    <col min="6" max="6" width="7.140625" bestFit="1" customWidth="1"/>
    <col min="7" max="7" width="23.42578125" bestFit="1" customWidth="1"/>
    <col min="8" max="8" width="3.140625" style="8" customWidth="1"/>
    <col min="9" max="9" width="13.42578125" bestFit="1" customWidth="1"/>
    <col min="10" max="10" width="12.5703125" bestFit="1" customWidth="1"/>
    <col min="11" max="11" width="18.85546875" customWidth="1"/>
    <col min="12" max="12" width="3.140625" customWidth="1"/>
    <col min="13" max="13" width="13.42578125" bestFit="1" customWidth="1"/>
    <col min="14" max="14" width="23.42578125" bestFit="1" customWidth="1"/>
    <col min="15" max="15" width="3.140625" style="8" customWidth="1"/>
    <col min="16" max="16" width="13.42578125" bestFit="1" customWidth="1"/>
    <col min="17" max="17" width="12.5703125" bestFit="1" customWidth="1"/>
    <col min="18" max="18" width="5.140625" customWidth="1"/>
    <col min="19" max="19" width="13.42578125" bestFit="1" customWidth="1"/>
    <col min="20" max="20" width="12.5703125" bestFit="1" customWidth="1"/>
    <col min="21" max="21" width="3.140625" style="8" customWidth="1"/>
    <col min="22" max="22" width="13.42578125" bestFit="1" customWidth="1"/>
    <col min="23" max="24" width="12.85546875" bestFit="1" customWidth="1"/>
  </cols>
  <sheetData>
    <row r="1" spans="1:23" ht="31.5" x14ac:dyDescent="0.5">
      <c r="A1" s="15" t="s">
        <v>37</v>
      </c>
      <c r="B1" s="15"/>
      <c r="C1" s="15"/>
      <c r="D1" s="15"/>
      <c r="E1" s="15"/>
      <c r="F1" s="15"/>
      <c r="G1" s="15"/>
      <c r="I1" s="15" t="s">
        <v>0</v>
      </c>
      <c r="J1" s="15"/>
      <c r="K1" s="15"/>
      <c r="L1" s="15"/>
      <c r="M1" s="15"/>
      <c r="N1" s="15"/>
      <c r="P1" s="15" t="s">
        <v>59</v>
      </c>
      <c r="Q1" s="15"/>
      <c r="R1" s="15"/>
      <c r="S1" s="15"/>
      <c r="T1" s="15"/>
      <c r="V1" s="15" t="s">
        <v>60</v>
      </c>
      <c r="W1" s="15"/>
    </row>
    <row r="3" spans="1:23" x14ac:dyDescent="0.25">
      <c r="A3" s="7" t="s">
        <v>31</v>
      </c>
      <c r="C3" s="7" t="s">
        <v>32</v>
      </c>
      <c r="E3" s="7" t="s">
        <v>34</v>
      </c>
      <c r="G3" s="7" t="s">
        <v>36</v>
      </c>
      <c r="I3" s="13" t="s">
        <v>55</v>
      </c>
      <c r="J3" s="16"/>
      <c r="K3" s="14"/>
      <c r="M3" s="17" t="s">
        <v>56</v>
      </c>
      <c r="N3" s="17"/>
      <c r="P3" s="17" t="s">
        <v>57</v>
      </c>
      <c r="Q3" s="17"/>
      <c r="S3" s="13" t="s">
        <v>58</v>
      </c>
      <c r="T3" s="14"/>
      <c r="V3" s="13" t="s">
        <v>10</v>
      </c>
      <c r="W3" s="14"/>
    </row>
    <row r="5" spans="1:23" x14ac:dyDescent="0.25">
      <c r="A5" t="s">
        <v>29</v>
      </c>
      <c r="C5" t="s">
        <v>30</v>
      </c>
      <c r="E5" t="s">
        <v>33</v>
      </c>
      <c r="G5" t="s">
        <v>35</v>
      </c>
      <c r="I5" s="4" t="s">
        <v>28</v>
      </c>
      <c r="J5" t="s">
        <v>29</v>
      </c>
      <c r="K5" t="s">
        <v>30</v>
      </c>
      <c r="M5" s="4" t="s">
        <v>28</v>
      </c>
      <c r="N5" t="s">
        <v>35</v>
      </c>
      <c r="P5" s="4" t="s">
        <v>28</v>
      </c>
      <c r="Q5" t="s">
        <v>29</v>
      </c>
      <c r="S5" s="4" t="s">
        <v>28</v>
      </c>
      <c r="T5" t="s">
        <v>29</v>
      </c>
      <c r="V5" s="4" t="s">
        <v>28</v>
      </c>
      <c r="W5" s="2" t="s">
        <v>61</v>
      </c>
    </row>
    <row r="6" spans="1:23" x14ac:dyDescent="0.25">
      <c r="A6" s="6">
        <v>157361</v>
      </c>
      <c r="C6" s="6">
        <v>166999.00000000015</v>
      </c>
      <c r="E6" s="6">
        <v>113300.8571428571</v>
      </c>
      <c r="G6" s="2">
        <v>9360</v>
      </c>
      <c r="I6" s="5" t="s">
        <v>43</v>
      </c>
      <c r="J6" s="12">
        <v>12900</v>
      </c>
      <c r="K6" s="12">
        <v>6000.0000000000009</v>
      </c>
      <c r="M6" s="5" t="s">
        <v>43</v>
      </c>
      <c r="N6" s="2">
        <v>1435</v>
      </c>
      <c r="P6" s="5" t="s">
        <v>13</v>
      </c>
      <c r="Q6" s="12">
        <v>30381</v>
      </c>
      <c r="S6" s="5" t="s">
        <v>12</v>
      </c>
      <c r="T6" s="11">
        <v>50045</v>
      </c>
      <c r="V6" s="5" t="s">
        <v>25</v>
      </c>
      <c r="W6" s="2">
        <v>41</v>
      </c>
    </row>
    <row r="7" spans="1:23" x14ac:dyDescent="0.25">
      <c r="I7" s="5" t="s">
        <v>44</v>
      </c>
      <c r="J7" s="12">
        <v>11256</v>
      </c>
      <c r="K7" s="12">
        <v>24285.28571428571</v>
      </c>
      <c r="M7" s="5" t="s">
        <v>44</v>
      </c>
      <c r="N7" s="2">
        <v>185</v>
      </c>
      <c r="P7" s="5" t="s">
        <v>19</v>
      </c>
      <c r="Q7" s="12">
        <v>63874</v>
      </c>
      <c r="S7" s="5" t="s">
        <v>24</v>
      </c>
      <c r="T7" s="11">
        <v>22921</v>
      </c>
      <c r="V7" s="5" t="s">
        <v>20</v>
      </c>
      <c r="W7" s="2">
        <v>59</v>
      </c>
    </row>
    <row r="8" spans="1:23" x14ac:dyDescent="0.25">
      <c r="A8" s="4" t="s">
        <v>38</v>
      </c>
      <c r="E8" t="s">
        <v>62</v>
      </c>
      <c r="I8" s="5" t="s">
        <v>45</v>
      </c>
      <c r="J8" s="12">
        <v>11700</v>
      </c>
      <c r="K8" s="12">
        <v>9714.2857142857156</v>
      </c>
      <c r="M8" s="5" t="s">
        <v>45</v>
      </c>
      <c r="N8" s="2">
        <v>688</v>
      </c>
      <c r="P8" s="5" t="s">
        <v>16</v>
      </c>
      <c r="Q8" s="12">
        <v>25744</v>
      </c>
      <c r="S8" s="5" t="s">
        <v>18</v>
      </c>
      <c r="T8" s="11">
        <v>46112</v>
      </c>
      <c r="V8" s="5" t="s">
        <v>17</v>
      </c>
      <c r="W8" s="2">
        <v>74</v>
      </c>
    </row>
    <row r="9" spans="1:23" x14ac:dyDescent="0.25">
      <c r="A9" s="5" t="s">
        <v>39</v>
      </c>
      <c r="B9" s="9">
        <v>0.85555555555555574</v>
      </c>
      <c r="E9" t="s">
        <v>63</v>
      </c>
      <c r="F9" s="10">
        <f>A6/C6</f>
        <v>0.94228707956334989</v>
      </c>
      <c r="I9" s="5" t="s">
        <v>46</v>
      </c>
      <c r="J9" s="12">
        <v>10400</v>
      </c>
      <c r="K9" s="12">
        <v>13571.428571428569</v>
      </c>
      <c r="M9" s="5" t="s">
        <v>46</v>
      </c>
      <c r="N9" s="2">
        <v>810</v>
      </c>
      <c r="P9" s="5" t="s">
        <v>21</v>
      </c>
      <c r="Q9" s="12">
        <v>23719</v>
      </c>
      <c r="S9" s="5" t="s">
        <v>15</v>
      </c>
      <c r="T9" s="11">
        <v>38283</v>
      </c>
      <c r="V9" s="5" t="s">
        <v>23</v>
      </c>
      <c r="W9" s="2">
        <v>66</v>
      </c>
    </row>
    <row r="10" spans="1:23" x14ac:dyDescent="0.25">
      <c r="A10" s="5" t="s">
        <v>41</v>
      </c>
      <c r="B10" s="9">
        <v>0.85492063492063519</v>
      </c>
      <c r="E10" t="s">
        <v>42</v>
      </c>
      <c r="F10" s="10">
        <f>100%-F9</f>
        <v>5.7712920436650106E-2</v>
      </c>
      <c r="I10" s="5" t="s">
        <v>47</v>
      </c>
      <c r="J10" s="12">
        <v>12995</v>
      </c>
      <c r="K10" s="12">
        <v>12571.285714285716</v>
      </c>
      <c r="M10" s="5" t="s">
        <v>47</v>
      </c>
      <c r="N10" s="2">
        <v>850</v>
      </c>
      <c r="P10" s="5" t="s">
        <v>22</v>
      </c>
      <c r="Q10" s="12">
        <v>13643</v>
      </c>
      <c r="V10" s="5" t="s">
        <v>14</v>
      </c>
      <c r="W10" s="2">
        <v>96</v>
      </c>
    </row>
    <row r="11" spans="1:23" x14ac:dyDescent="0.25">
      <c r="A11" s="5" t="s">
        <v>40</v>
      </c>
      <c r="B11" s="9">
        <v>0.8447619047619046</v>
      </c>
      <c r="I11" s="5" t="s">
        <v>48</v>
      </c>
      <c r="J11" s="12">
        <v>13450</v>
      </c>
      <c r="K11" s="12">
        <v>12999.999999999998</v>
      </c>
      <c r="M11" s="5" t="s">
        <v>48</v>
      </c>
      <c r="N11" s="2">
        <v>991</v>
      </c>
    </row>
    <row r="12" spans="1:23" x14ac:dyDescent="0.25">
      <c r="B12" s="9"/>
      <c r="I12" s="5" t="s">
        <v>49</v>
      </c>
      <c r="J12" s="12">
        <v>11000</v>
      </c>
      <c r="K12" s="12">
        <v>20142.85714285713</v>
      </c>
      <c r="M12" s="5" t="s">
        <v>49</v>
      </c>
      <c r="N12" s="2">
        <v>300</v>
      </c>
    </row>
    <row r="13" spans="1:23" x14ac:dyDescent="0.25">
      <c r="B13" s="9"/>
      <c r="I13" s="5" t="s">
        <v>50</v>
      </c>
      <c r="J13" s="12">
        <v>17050</v>
      </c>
      <c r="K13" s="12">
        <v>3428.5714285714316</v>
      </c>
      <c r="M13" s="5" t="s">
        <v>50</v>
      </c>
      <c r="N13" s="2">
        <v>646</v>
      </c>
      <c r="P13" t="str" cm="1">
        <f t="array" ref="P13:Q17">P6:Q10</f>
        <v>Argentina</v>
      </c>
      <c r="Q13" s="12">
        <v>30381</v>
      </c>
      <c r="S13" t="str" cm="1">
        <f t="array" ref="S13:T16">S6:T9</f>
        <v>East</v>
      </c>
      <c r="T13" s="12">
        <v>50045</v>
      </c>
      <c r="V13" t="str" cm="1">
        <f t="array" ref="V13:W17">V6:W10</f>
        <v>Availability</v>
      </c>
      <c r="W13">
        <v>41</v>
      </c>
    </row>
    <row r="14" spans="1:23" x14ac:dyDescent="0.25">
      <c r="A14" s="5" t="s">
        <v>6</v>
      </c>
      <c r="B14" s="9">
        <f>B9</f>
        <v>0.85555555555555574</v>
      </c>
      <c r="I14" s="5" t="s">
        <v>51</v>
      </c>
      <c r="J14" s="12">
        <v>3600</v>
      </c>
      <c r="K14" s="12">
        <v>9571.428571428567</v>
      </c>
      <c r="M14" s="5" t="s">
        <v>51</v>
      </c>
      <c r="N14" s="2">
        <v>190</v>
      </c>
      <c r="P14" t="str">
        <v>Brazil</v>
      </c>
      <c r="Q14" s="12">
        <v>63874</v>
      </c>
      <c r="S14" t="str">
        <v>North</v>
      </c>
      <c r="T14" s="12">
        <v>22921</v>
      </c>
      <c r="V14" t="str">
        <v>Hygiene</v>
      </c>
      <c r="W14">
        <v>59</v>
      </c>
    </row>
    <row r="15" spans="1:23" x14ac:dyDescent="0.25">
      <c r="A15" s="5" t="s">
        <v>42</v>
      </c>
      <c r="B15" s="9">
        <f>100%-B14</f>
        <v>0.14444444444444426</v>
      </c>
      <c r="I15" s="5" t="s">
        <v>52</v>
      </c>
      <c r="J15" s="12">
        <v>26729</v>
      </c>
      <c r="K15" s="12">
        <v>30142.428571428576</v>
      </c>
      <c r="M15" s="5" t="s">
        <v>52</v>
      </c>
      <c r="N15" s="2">
        <v>1450</v>
      </c>
      <c r="P15" t="str">
        <v>Colombia</v>
      </c>
      <c r="Q15" s="12">
        <v>25744</v>
      </c>
      <c r="S15" t="str">
        <v>South</v>
      </c>
      <c r="T15" s="12">
        <v>46112</v>
      </c>
      <c r="V15" t="str">
        <v>Quality</v>
      </c>
      <c r="W15">
        <v>74</v>
      </c>
    </row>
    <row r="16" spans="1:23" x14ac:dyDescent="0.25">
      <c r="A16" s="5"/>
      <c r="B16" s="9"/>
      <c r="I16" s="5" t="s">
        <v>53</v>
      </c>
      <c r="J16" s="12">
        <v>22481</v>
      </c>
      <c r="K16" s="12">
        <v>20857.142857142862</v>
      </c>
      <c r="M16" s="5" t="s">
        <v>53</v>
      </c>
      <c r="N16" s="2">
        <v>1497</v>
      </c>
      <c r="P16" t="str">
        <v>Ecuador</v>
      </c>
      <c r="Q16" s="12">
        <v>23719</v>
      </c>
      <c r="S16" t="str">
        <v>West</v>
      </c>
      <c r="T16" s="12">
        <v>38283</v>
      </c>
      <c r="V16" t="str">
        <v>Service</v>
      </c>
      <c r="W16">
        <v>66</v>
      </c>
    </row>
    <row r="17" spans="1:23" x14ac:dyDescent="0.25">
      <c r="A17" s="5" t="s">
        <v>7</v>
      </c>
      <c r="B17" s="9">
        <f>B10</f>
        <v>0.85492063492063519</v>
      </c>
      <c r="I17" s="5" t="s">
        <v>54</v>
      </c>
      <c r="J17" s="12">
        <v>3800</v>
      </c>
      <c r="K17" s="12">
        <v>3714.2857142857147</v>
      </c>
      <c r="M17" s="5" t="s">
        <v>54</v>
      </c>
      <c r="N17" s="2">
        <v>318</v>
      </c>
      <c r="P17" t="str">
        <v>Peru</v>
      </c>
      <c r="Q17" s="12">
        <v>13643</v>
      </c>
      <c r="V17" t="str">
        <v>Speed</v>
      </c>
      <c r="W17">
        <v>96</v>
      </c>
    </row>
    <row r="18" spans="1:23" x14ac:dyDescent="0.25">
      <c r="A18" s="5" t="s">
        <v>42</v>
      </c>
      <c r="B18" s="9">
        <f>100%-B17</f>
        <v>0.14507936507936481</v>
      </c>
    </row>
    <row r="19" spans="1:23" x14ac:dyDescent="0.25">
      <c r="A19" s="5"/>
      <c r="B19" s="9"/>
    </row>
    <row r="20" spans="1:23" x14ac:dyDescent="0.25">
      <c r="A20" s="5" t="s">
        <v>8</v>
      </c>
      <c r="B20" s="9">
        <f>B11</f>
        <v>0.8447619047619046</v>
      </c>
    </row>
    <row r="21" spans="1:23" x14ac:dyDescent="0.25">
      <c r="A21" s="5" t="s">
        <v>42</v>
      </c>
      <c r="B21" s="9">
        <f>100%-B20</f>
        <v>0.1552380952380954</v>
      </c>
    </row>
    <row r="22" spans="1:23" x14ac:dyDescent="0.25">
      <c r="B22" s="9"/>
    </row>
  </sheetData>
  <mergeCells count="9">
    <mergeCell ref="S3:T3"/>
    <mergeCell ref="P1:T1"/>
    <mergeCell ref="V3:W3"/>
    <mergeCell ref="V1:W1"/>
    <mergeCell ref="A1:G1"/>
    <mergeCell ref="I3:K3"/>
    <mergeCell ref="I1:N1"/>
    <mergeCell ref="M3:N3"/>
    <mergeCell ref="P3:Q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9998F-5CF4-42DC-8059-7BA3272250A5}">
  <sheetPr codeName="Sheet3"/>
  <dimension ref="A1"/>
  <sheetViews>
    <sheetView showGridLines="0" tabSelected="1" topLeftCell="B1" workbookViewId="0">
      <selection activeCell="D55" sqref="D5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ADMIN</cp:lastModifiedBy>
  <dcterms:created xsi:type="dcterms:W3CDTF">2025-01-31T08:22:50Z</dcterms:created>
  <dcterms:modified xsi:type="dcterms:W3CDTF">2026-04-14T18:46:26Z</dcterms:modified>
</cp:coreProperties>
</file>